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Dashboard" sheetId="1" state="visible" r:id="rId1"/>
    <sheet xmlns:r="http://schemas.openxmlformats.org/officeDocument/2006/relationships" name="📅 Daily Tracker" sheetId="2" state="visible" r:id="rId2"/>
    <sheet xmlns:r="http://schemas.openxmlformats.org/officeDocument/2006/relationships" name="📊 Phase Overview" sheetId="3" state="visible" r:id="rId3"/>
    <sheet xmlns:r="http://schemas.openxmlformats.org/officeDocument/2006/relationships" name="📖 GS Tracker" sheetId="4" state="visible" r:id="rId4"/>
    <sheet xmlns:r="http://schemas.openxmlformats.org/officeDocument/2006/relationships" name="✅ CS Checklist" sheetId="5" state="visible" r:id="rId5"/>
    <sheet xmlns:r="http://schemas.openxmlformats.org/officeDocument/2006/relationships" name="📝 Mock Test Log" sheetId="6" state="visible" r:id="rId6"/>
    <sheet xmlns:r="http://schemas.openxmlformats.org/officeDocument/2006/relationships" name="📐 Formula 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1F3864"/>
      <sz val="9"/>
    </font>
    <font>
      <name val="Arial"/>
      <color rgb="00000000"/>
      <sz val="8"/>
    </font>
    <font>
      <name val="Arial"/>
      <color rgb="00000000"/>
      <sz val="12"/>
    </font>
    <font>
      <name val="Arial"/>
      <color rgb="00000000"/>
      <sz val="9"/>
    </font>
    <font>
      <name val="Arial"/>
      <b val="1"/>
      <color rgb="002E75B6"/>
      <sz val="9"/>
    </font>
    <font>
      <name val="Arial"/>
      <b val="1"/>
      <color rgb="00C00000"/>
      <sz val="10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375623"/>
      <sz val="12"/>
    </font>
    <font>
      <name val="Arial"/>
      <color rgb="00666666"/>
      <sz val="9"/>
    </font>
    <font>
      <name val="Arial"/>
      <b val="1"/>
      <color rgb="00000000"/>
      <sz val="10"/>
    </font>
    <font>
      <name val="Arial"/>
      <b val="1"/>
      <color rgb="00000000"/>
      <sz val="9"/>
    </font>
  </fonts>
  <fills count="3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D9E1F2"/>
      </patternFill>
    </fill>
    <fill>
      <patternFill patternType="solid">
        <fgColor rgb="00FAFAFA"/>
      </patternFill>
    </fill>
    <fill>
      <patternFill patternType="solid">
        <fgColor rgb="00F0F7FF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2EBF2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8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8A65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CCCC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BE9E7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FECEC"/>
      </patternFill>
    </fill>
    <fill>
      <patternFill patternType="solid">
        <fgColor rgb="00F9FBE7"/>
      </patternFill>
    </fill>
    <fill>
      <patternFill patternType="solid">
        <fgColor rgb="00FFFFFF"/>
      </patternFill>
    </fill>
    <fill>
      <patternFill patternType="solid">
        <fgColor rgb="00FFFFF0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BDD7EE"/>
      </patternFill>
    </fill>
    <fill>
      <patternFill patternType="solid">
        <fgColor rgb="00C0900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/>
    </xf>
    <xf numFmtId="0" fontId="17" fillId="27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27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center" vertical="center" wrapText="1"/>
    </xf>
    <xf numFmtId="0" fontId="16" fillId="3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3" fillId="31" borderId="1" applyAlignment="1" pivotButton="0" quotePrefix="0" xfId="0">
      <alignment horizontal="center" vertical="center" wrapText="1"/>
    </xf>
    <xf numFmtId="0" fontId="13" fillId="27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/>
    </xf>
    <xf numFmtId="0" fontId="2" fillId="32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1" fillId="7" borderId="1" applyAlignment="1" pivotButton="0" quotePrefix="0" xfId="0">
      <alignment horizontal="left" vertical="center" wrapText="1"/>
    </xf>
    <xf numFmtId="0" fontId="7" fillId="3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14" fillId="16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164" fontId="7" fillId="18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164" fontId="7" fillId="1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2" fillId="19" borderId="0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  <xf numFmtId="0" fontId="7" fillId="24" borderId="1" applyAlignment="1" pivotButton="0" quotePrefix="0" xfId="0">
      <alignment horizontal="center" vertical="center" wrapText="1"/>
    </xf>
    <xf numFmtId="0" fontId="7" fillId="24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164" fontId="7" fillId="27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" fillId="29" borderId="0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5" customHeight="1">
      <c r="A1" s="1" t="inlineStr">
        <is>
          <t>🎯  BPSC TRE 4.0 — MY PROGRESS DASHBOARD</t>
        </is>
      </c>
    </row>
    <row r="2" ht="24" customHeight="1">
      <c r="A2" s="2" t="inlineStr">
        <is>
          <t>PROGRESS SUMMARY</t>
        </is>
      </c>
    </row>
    <row r="3" ht="26" customHeight="1">
      <c r="A3" s="3" t="inlineStr">
        <is>
          <t>📅 Total Days in Plan</t>
        </is>
      </c>
      <c r="B3" s="4" t="n">
        <v>170</v>
      </c>
      <c r="C3" s="5" t="inlineStr">
        <is>
          <t>days</t>
        </is>
      </c>
    </row>
    <row r="4" ht="26" customHeight="1">
      <c r="A4" s="6" t="inlineStr">
        <is>
          <t>✅ Days Completed</t>
        </is>
      </c>
      <c r="B4" s="4">
        <f>COUNTIF('📅 Daily Tracker'!H3:H172,"✅")</f>
        <v/>
      </c>
      <c r="C4" s="7" t="inlineStr">
        <is>
          <t>days</t>
        </is>
      </c>
    </row>
    <row r="5" ht="26" customHeight="1">
      <c r="A5" s="3" t="inlineStr">
        <is>
          <t>🔄 Days In Progress</t>
        </is>
      </c>
      <c r="B5" s="4">
        <f>COUNTIF('📅 Daily Tracker'!H3:H172,"🔄")</f>
        <v/>
      </c>
      <c r="C5" s="5" t="inlineStr">
        <is>
          <t>days</t>
        </is>
      </c>
    </row>
    <row r="6" ht="26" customHeight="1">
      <c r="A6" s="6" t="inlineStr">
        <is>
          <t>⬜ Days Remaining</t>
        </is>
      </c>
      <c r="B6" s="4">
        <f>170-B4-B5</f>
        <v/>
      </c>
      <c r="C6" s="7" t="inlineStr">
        <is>
          <t>days</t>
        </is>
      </c>
    </row>
    <row r="7" ht="26" customHeight="1">
      <c r="A7" s="3" t="inlineStr">
        <is>
          <t>📊 Overall Completion</t>
        </is>
      </c>
      <c r="B7" s="4">
        <f>(B4/170)*100</f>
        <v/>
      </c>
      <c r="C7" s="5" t="inlineStr">
        <is>
          <t>%</t>
        </is>
      </c>
    </row>
    <row r="8" ht="26" customHeight="1">
      <c r="A8" s="6" t="inlineStr">
        <is>
          <t>📝 CS Topics Covered</t>
        </is>
      </c>
      <c r="B8" s="4">
        <f>COUNTIF('✅ CS Checklist'!D3:D61,"&gt;0")</f>
        <v/>
      </c>
      <c r="C8" s="7" t="inlineStr">
        <is>
          <t>/ 59 topics</t>
        </is>
      </c>
    </row>
    <row r="9" ht="26" customHeight="1">
      <c r="A9" s="3" t="inlineStr">
        <is>
          <t>📖 GS Topics Covered</t>
        </is>
      </c>
      <c r="B9" s="4">
        <f>COUNTIF('📖 GS Tracker'!C3:C26,"✅")</f>
        <v/>
      </c>
      <c r="C9" s="5" t="inlineStr">
        <is>
          <t>/ 24 topics</t>
        </is>
      </c>
    </row>
    <row r="10" ht="26" customHeight="1">
      <c r="A10" s="6" t="inlineStr">
        <is>
          <t>🧪 Mock Tests Done</t>
        </is>
      </c>
      <c r="B10" s="4">
        <f>COUNTA('📝 Mock Test Log'!G3:G14)-COUNTBLANK('📝 Mock Test Log'!G3:G14)</f>
        <v/>
      </c>
      <c r="C10" s="7" t="inlineStr">
        <is>
          <t>/ 12 tests</t>
        </is>
      </c>
    </row>
    <row r="12" ht="24" customHeight="1">
      <c r="A12" s="8" t="inlineStr">
        <is>
          <t>TARGET SCORES</t>
        </is>
      </c>
    </row>
    <row r="13" ht="24" customHeight="1">
      <c r="A13" s="9" t="inlineStr">
        <is>
          <t>Section</t>
        </is>
      </c>
      <c r="B13" s="9" t="inlineStr">
        <is>
          <t>Max Marks</t>
        </is>
      </c>
      <c r="C13" s="9" t="inlineStr">
        <is>
          <t>My Target</t>
        </is>
      </c>
      <c r="D13" s="9" t="inlineStr">
        <is>
          <t>Topper Target</t>
        </is>
      </c>
    </row>
    <row r="14" ht="24" customHeight="1">
      <c r="A14" s="10" t="inlineStr">
        <is>
          <t>Language</t>
        </is>
      </c>
      <c r="B14" s="10" t="n">
        <v>30</v>
      </c>
      <c r="C14" s="10" t="n">
        <v>25</v>
      </c>
      <c r="D14" s="10" t="n">
        <v>28</v>
      </c>
    </row>
    <row r="15" ht="24" customHeight="1">
      <c r="A15" s="11" t="inlineStr">
        <is>
          <t>General Studies</t>
        </is>
      </c>
      <c r="B15" s="11" t="n">
        <v>40</v>
      </c>
      <c r="C15" s="11" t="n">
        <v>36</v>
      </c>
      <c r="D15" s="11" t="n">
        <v>38</v>
      </c>
    </row>
    <row r="16" ht="24" customHeight="1">
      <c r="A16" s="10" t="inlineStr">
        <is>
          <t>Computer Science</t>
        </is>
      </c>
      <c r="B16" s="10" t="n">
        <v>80</v>
      </c>
      <c r="C16" s="10" t="n">
        <v>68</v>
      </c>
      <c r="D16" s="10" t="n">
        <v>72</v>
      </c>
    </row>
    <row r="17" ht="24" customHeight="1">
      <c r="A17" s="12" t="inlineStr">
        <is>
          <t>TOTAL</t>
        </is>
      </c>
      <c r="B17" s="12" t="n">
        <v>150</v>
      </c>
      <c r="C17" s="12" t="n">
        <v>129</v>
      </c>
      <c r="D17" s="12" t="n">
        <v>138</v>
      </c>
    </row>
    <row r="19" ht="30" customHeight="1">
      <c r="A19" s="13" t="inlineStr">
        <is>
          <t>💪  YOU CLEARED BIHAR STET. YOUR FUNDAMENTALS ARE SOLID. NOW EXECUTE THE PLAN!  🎯</t>
        </is>
      </c>
    </row>
    <row r="20" ht="22" customHeight="1">
      <c r="A20" s="14" t="inlineStr">
        <is>
          <t>⚠️  KEY REMINDERS</t>
        </is>
      </c>
      <c r="B20" s="15" t="inlineStr"/>
      <c r="C20" s="16" t="n"/>
      <c r="D20" s="16" t="n"/>
      <c r="E20" s="16" t="n"/>
      <c r="F20" s="16" t="n"/>
    </row>
    <row r="21" ht="22" customHeight="1">
      <c r="A21" s="17" t="inlineStr">
        <is>
          <t>Option D ('More than one'):</t>
        </is>
      </c>
      <c r="B21" s="18" t="inlineStr">
        <is>
          <t>~20–25% of answers are D — NEVER ignore it!</t>
        </is>
      </c>
      <c r="C21" s="16" t="n"/>
      <c r="D21" s="16" t="n"/>
      <c r="E21" s="16" t="n"/>
      <c r="F21" s="16" t="n"/>
    </row>
    <row r="22" ht="22" customHeight="1">
      <c r="A22" s="17" t="inlineStr">
        <is>
          <t>Option E ('None of the above'):</t>
        </is>
      </c>
      <c r="B22" s="18" t="inlineStr">
        <is>
          <t>Some correct answers ARE 'none' — check carefully</t>
        </is>
      </c>
      <c r="C22" s="16" t="n"/>
      <c r="D22" s="16" t="n"/>
      <c r="E22" s="16" t="n"/>
      <c r="F22" s="16" t="n"/>
    </row>
    <row r="23" ht="22" customHeight="1">
      <c r="A23" s="17" t="inlineStr">
        <is>
          <t>GS is 40 marks:</t>
        </is>
      </c>
      <c r="B23" s="18" t="inlineStr">
        <is>
          <t>Toppers score 36–38. Easy marks — don't neglect!</t>
        </is>
      </c>
      <c r="C23" s="16" t="n"/>
      <c r="D23" s="16" t="n"/>
      <c r="E23" s="16" t="n"/>
      <c r="F23" s="16" t="n"/>
    </row>
    <row r="24" ht="22" customHeight="1">
      <c r="A24" s="17" t="inlineStr">
        <is>
          <t>Language is qualifying:</t>
        </is>
      </c>
      <c r="B24" s="18" t="inlineStr">
        <is>
          <t>Need min 9/30 — aim for 25+. Failing = disqualified</t>
        </is>
      </c>
      <c r="C24" s="16" t="n"/>
      <c r="D24" s="16" t="n"/>
      <c r="E24" s="16" t="n"/>
      <c r="F24" s="16" t="n"/>
    </row>
    <row r="25" ht="22" customHeight="1">
      <c r="A25" s="17" t="inlineStr">
        <is>
          <t>Time per question:</t>
        </is>
      </c>
      <c r="B25" s="18" t="inlineStr">
        <is>
          <t>Max 90 seconds. Move on; return to difficult ones</t>
        </is>
      </c>
      <c r="C25" s="16" t="n"/>
      <c r="D25" s="16" t="n"/>
      <c r="E25" s="16" t="n"/>
      <c r="F25" s="16" t="n"/>
    </row>
    <row r="26" ht="22" customHeight="1">
      <c r="A26" s="17" t="inlineStr">
        <is>
          <t>Solve ALL 3 PYQs 3x each:</t>
        </is>
      </c>
      <c r="B26" s="18" t="inlineStr">
        <is>
          <t>Exam setter repeats topics. 3 rounds = mastery</t>
        </is>
      </c>
      <c r="C26" s="16" t="n"/>
      <c r="D26" s="16" t="n"/>
      <c r="E26" s="16" t="n"/>
      <c r="F26" s="16" t="n"/>
    </row>
    <row r="27" ht="22" customHeight="1">
      <c r="A27" s="17" t="inlineStr">
        <is>
          <t>Today's mentor:</t>
        </is>
      </c>
      <c r="B27" s="18" t="inlineStr">
        <is>
          <t>Come daily with 'Day-N' → Claude teaches you that topic!</t>
        </is>
      </c>
      <c r="C27" s="16" t="n"/>
      <c r="D27" s="16" t="n"/>
      <c r="E27" s="16" t="n"/>
      <c r="F27" s="16" t="n"/>
    </row>
  </sheetData>
  <mergeCells count="12">
    <mergeCell ref="B21:F21"/>
    <mergeCell ref="B24:F24"/>
    <mergeCell ref="A19:F19"/>
    <mergeCell ref="B20:F20"/>
    <mergeCell ref="A1:F1"/>
    <mergeCell ref="B25:F25"/>
    <mergeCell ref="B23:F23"/>
    <mergeCell ref="B22:F22"/>
    <mergeCell ref="A12:C12"/>
    <mergeCell ref="B26:F26"/>
    <mergeCell ref="B27:F2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R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7" customWidth="1" min="4" max="4"/>
    <col width="42" customWidth="1" min="5" max="5"/>
    <col width="32" customWidth="1" min="6" max="6"/>
    <col width="4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28" customWidth="1" min="14" max="14"/>
    <col width="12" customWidth="1" min="15" max="15"/>
    <col width="14" customWidth="1" min="16" max="16"/>
    <col width="12" customWidth="1" min="17" max="17"/>
    <col width="30" customWidth="1" min="18" max="18"/>
  </cols>
  <sheetData>
    <row r="1" ht="28" customHeight="1">
      <c r="A1" s="19" t="inlineStr">
        <is>
          <t>🎯  BPSC TRE 4.0 — DAILY STUDY TRACKER  |  Computer Science Teacher (Class 11–12)  |  Target: 130+/150</t>
        </is>
      </c>
    </row>
    <row r="2" ht="36" customHeight="1">
      <c r="A2" s="20" t="inlineStr">
        <is>
          <t>Day</t>
        </is>
      </c>
      <c r="B2" s="20" t="inlineStr">
        <is>
          <t>Date
(Fill In)</t>
        </is>
      </c>
      <c r="C2" s="20" t="inlineStr">
        <is>
          <t>Phase</t>
        </is>
      </c>
      <c r="D2" s="20" t="inlineStr">
        <is>
          <t>Week</t>
        </is>
      </c>
      <c r="E2" s="20" t="inlineStr">
        <is>
          <t>CS Topic</t>
        </is>
      </c>
      <c r="F2" s="20" t="inlineStr">
        <is>
          <t>GS Topic</t>
        </is>
      </c>
      <c r="G2" s="20" t="inlineStr">
        <is>
          <t>Key PYQ Fact / Note</t>
        </is>
      </c>
      <c r="H2" s="20" t="inlineStr">
        <is>
          <t>Status
(✅/🔄/⬜)</t>
        </is>
      </c>
      <c r="I2" s="20" t="inlineStr">
        <is>
          <t>CS Score
(/10)</t>
        </is>
      </c>
      <c r="J2" s="20" t="inlineStr">
        <is>
          <t>GS Score
(/10)</t>
        </is>
      </c>
      <c r="K2" s="20" t="inlineStr">
        <is>
          <t>PYQ Qs
Solved</t>
        </is>
      </c>
      <c r="L2" s="20" t="inlineStr">
        <is>
          <t>Mock
Test #</t>
        </is>
      </c>
      <c r="M2" s="20" t="inlineStr">
        <is>
          <t>Completion
%</t>
        </is>
      </c>
      <c r="N2" s="20" t="inlineStr">
        <is>
          <t>Weak Areas
(Write here)</t>
        </is>
      </c>
      <c r="O2" s="20" t="inlineStr">
        <is>
          <t>Revision
Needed
(Y/N)</t>
        </is>
      </c>
      <c r="P2" s="20" t="inlineStr">
        <is>
          <t>Time Spent
(hours)</t>
        </is>
      </c>
      <c r="Q2" s="20" t="inlineStr">
        <is>
          <t>Confidence
(1-10)</t>
        </is>
      </c>
      <c r="R2" s="20" t="inlineStr">
        <is>
          <t>Personal Notes</t>
        </is>
      </c>
    </row>
    <row r="3" ht="28" customHeight="1">
      <c r="A3" s="21" t="n">
        <v>1</v>
      </c>
      <c r="B3" s="22" t="inlineStr"/>
      <c r="C3" s="22" t="inlineStr">
        <is>
          <t>🟥 Phase 1: Foundation</t>
        </is>
      </c>
      <c r="D3" s="22" t="inlineStr">
        <is>
          <t>Week 1</t>
        </is>
      </c>
      <c r="E3" s="23" t="inlineStr">
        <is>
          <t>OOP Fundamentals — 4 Pillars, Class vs Object</t>
        </is>
      </c>
      <c r="F3" s="23" t="inlineStr">
        <is>
          <t>Maths — Percentage Basics</t>
        </is>
      </c>
      <c r="G3" s="23" t="inlineStr">
        <is>
          <t>4 pillars: Encapsulation, Inheritance, Polymorphism, Abstraction</t>
        </is>
      </c>
      <c r="H3" s="24" t="inlineStr"/>
      <c r="I3" s="25" t="inlineStr"/>
      <c r="J3" s="25" t="inlineStr"/>
      <c r="K3" s="25" t="inlineStr"/>
      <c r="L3" s="25" t="inlineStr"/>
      <c r="M3" s="26">
        <f>IF(H3="✅",100,IF(H3="🔄",50,0))</f>
        <v/>
      </c>
      <c r="N3" s="25" t="inlineStr"/>
      <c r="O3" s="25" t="inlineStr"/>
      <c r="P3" s="25" t="inlineStr"/>
      <c r="Q3" s="25" t="inlineStr"/>
      <c r="R3" s="25" t="inlineStr"/>
    </row>
    <row r="4" ht="28" customHeight="1">
      <c r="A4" s="21" t="n">
        <v>2</v>
      </c>
      <c r="B4" s="22" t="inlineStr"/>
      <c r="C4" s="22" t="inlineStr">
        <is>
          <t>🟥 Phase 1: Foundation</t>
        </is>
      </c>
      <c r="D4" s="22" t="inlineStr">
        <is>
          <t>Week 1</t>
        </is>
      </c>
      <c r="E4" s="23" t="inlineStr">
        <is>
          <t>Encapsulation &amp; Abstraction</t>
        </is>
      </c>
      <c r="F4" s="23" t="inlineStr">
        <is>
          <t>Maths — Profit &amp; Loss</t>
        </is>
      </c>
      <c r="G4" s="23" t="inlineStr">
        <is>
          <t>Abstract class = at least 1 pure virtual function</t>
        </is>
      </c>
      <c r="H4" s="24" t="inlineStr"/>
      <c r="I4" s="25" t="inlineStr"/>
      <c r="J4" s="25" t="inlineStr"/>
      <c r="K4" s="25" t="inlineStr"/>
      <c r="L4" s="25" t="inlineStr"/>
      <c r="M4" s="26">
        <f>IF(H4="✅",100,IF(H4="🔄",50,0))</f>
        <v/>
      </c>
      <c r="N4" s="25" t="inlineStr"/>
      <c r="O4" s="25" t="inlineStr"/>
      <c r="P4" s="25" t="inlineStr"/>
      <c r="Q4" s="25" t="inlineStr"/>
      <c r="R4" s="25" t="inlineStr"/>
    </row>
    <row r="5" ht="28" customHeight="1">
      <c r="A5" s="21" t="n">
        <v>3</v>
      </c>
      <c r="B5" s="22" t="inlineStr"/>
      <c r="C5" s="22" t="inlineStr">
        <is>
          <t>🟥 Phase 1: Foundation</t>
        </is>
      </c>
      <c r="D5" s="22" t="inlineStr">
        <is>
          <t>Week 1</t>
        </is>
      </c>
      <c r="E5" s="23" t="inlineStr">
        <is>
          <t>Inheritance Types: Single/Multiple/Multilevel/Hierarchical/Hybrid</t>
        </is>
      </c>
      <c r="F5" s="23" t="inlineStr">
        <is>
          <t>Maths — Ratio &amp; Proportion</t>
        </is>
      </c>
      <c r="G5" s="23" t="inlineStr">
        <is>
          <t>C++ syntax: class Derived : access Base {}</t>
        </is>
      </c>
      <c r="H5" s="24" t="inlineStr"/>
      <c r="I5" s="25" t="inlineStr"/>
      <c r="J5" s="25" t="inlineStr"/>
      <c r="K5" s="25" t="inlineStr"/>
      <c r="L5" s="25" t="inlineStr"/>
      <c r="M5" s="26">
        <f>IF(H5="✅",100,IF(H5="🔄",50,0))</f>
        <v/>
      </c>
      <c r="N5" s="25" t="inlineStr"/>
      <c r="O5" s="25" t="inlineStr"/>
      <c r="P5" s="25" t="inlineStr"/>
      <c r="Q5" s="25" t="inlineStr"/>
      <c r="R5" s="25" t="inlineStr"/>
    </row>
    <row r="6" ht="28" customHeight="1">
      <c r="A6" s="21" t="n">
        <v>4</v>
      </c>
      <c r="B6" s="22" t="inlineStr"/>
      <c r="C6" s="22" t="inlineStr">
        <is>
          <t>🟥 Phase 1: Foundation</t>
        </is>
      </c>
      <c r="D6" s="22" t="inlineStr">
        <is>
          <t>Week 1</t>
        </is>
      </c>
      <c r="E6" s="23" t="inlineStr">
        <is>
          <t>Virtual Inheritance &amp; Diamond Problem</t>
        </is>
      </c>
      <c r="F6" s="23" t="inlineStr">
        <is>
          <t>Maths — Number System Basics</t>
        </is>
      </c>
      <c r="G6" s="23" t="inlineStr">
        <is>
          <t>Virtual inheritance avoids diamond problem</t>
        </is>
      </c>
      <c r="H6" s="24" t="inlineStr"/>
      <c r="I6" s="25" t="inlineStr"/>
      <c r="J6" s="25" t="inlineStr"/>
      <c r="K6" s="25" t="inlineStr"/>
      <c r="L6" s="25" t="inlineStr"/>
      <c r="M6" s="26">
        <f>IF(H6="✅",100,IF(H6="🔄",50,0))</f>
        <v/>
      </c>
      <c r="N6" s="25" t="inlineStr"/>
      <c r="O6" s="25" t="inlineStr"/>
      <c r="P6" s="25" t="inlineStr"/>
      <c r="Q6" s="25" t="inlineStr"/>
      <c r="R6" s="25" t="inlineStr"/>
    </row>
    <row r="7" ht="28" customHeight="1">
      <c r="A7" s="21" t="n">
        <v>5</v>
      </c>
      <c r="B7" s="22" t="inlineStr"/>
      <c r="C7" s="22" t="inlineStr">
        <is>
          <t>🟥 Phase 1: Foundation</t>
        </is>
      </c>
      <c r="D7" s="22" t="inlineStr">
        <is>
          <t>Week 1</t>
        </is>
      </c>
      <c r="E7" s="23" t="inlineStr">
        <is>
          <t>Polymorphism: Compile-time &amp; Runtime</t>
        </is>
      </c>
      <c r="F7" s="23" t="inlineStr">
        <is>
          <t>Maths — Averages</t>
        </is>
      </c>
      <c r="G7" s="23" t="inlineStr">
        <is>
          <t>Runtime polymorphism = virtual functions (overriding)</t>
        </is>
      </c>
      <c r="H7" s="24" t="inlineStr"/>
      <c r="I7" s="25" t="inlineStr"/>
      <c r="J7" s="25" t="inlineStr"/>
      <c r="K7" s="25" t="inlineStr"/>
      <c r="L7" s="25" t="inlineStr"/>
      <c r="M7" s="26">
        <f>IF(H7="✅",100,IF(H7="🔄",50,0))</f>
        <v/>
      </c>
      <c r="N7" s="25" t="inlineStr"/>
      <c r="O7" s="25" t="inlineStr"/>
      <c r="P7" s="25" t="inlineStr"/>
      <c r="Q7" s="25" t="inlineStr"/>
      <c r="R7" s="25" t="inlineStr"/>
    </row>
    <row r="8" ht="28" customHeight="1">
      <c r="A8" s="21" t="n">
        <v>6</v>
      </c>
      <c r="B8" s="22" t="inlineStr"/>
      <c r="C8" s="22" t="inlineStr">
        <is>
          <t>🟥 Phase 1: Foundation</t>
        </is>
      </c>
      <c r="D8" s="22" t="inlineStr">
        <is>
          <t>Week 1</t>
        </is>
      </c>
      <c r="E8" s="23" t="inlineStr">
        <is>
          <t>Constructors &amp; Destructors</t>
        </is>
      </c>
      <c r="F8" s="23" t="inlineStr">
        <is>
          <t>Maths — LCM &amp; HCF</t>
        </is>
      </c>
      <c r="G8" s="23" t="inlineStr">
        <is>
          <t>Only ONE destructor per class; called when object out of scope</t>
        </is>
      </c>
      <c r="H8" s="24" t="inlineStr"/>
      <c r="I8" s="25" t="inlineStr"/>
      <c r="J8" s="25" t="inlineStr"/>
      <c r="K8" s="25" t="inlineStr"/>
      <c r="L8" s="25" t="inlineStr"/>
      <c r="M8" s="26">
        <f>IF(H8="✅",100,IF(H8="🔄",50,0))</f>
        <v/>
      </c>
      <c r="N8" s="25" t="inlineStr"/>
      <c r="O8" s="25" t="inlineStr"/>
      <c r="P8" s="25" t="inlineStr"/>
      <c r="Q8" s="25" t="inlineStr"/>
      <c r="R8" s="25" t="inlineStr"/>
    </row>
    <row r="9" ht="28" customHeight="1">
      <c r="A9" s="27" t="n">
        <v>7</v>
      </c>
      <c r="B9" s="28" t="inlineStr"/>
      <c r="C9" s="28" t="inlineStr">
        <is>
          <t>🟥 Phase 1: Foundation</t>
        </is>
      </c>
      <c r="D9" s="28" t="inlineStr">
        <is>
          <t>Week 1</t>
        </is>
      </c>
      <c r="E9" s="29" t="inlineStr">
        <is>
          <t>REVISION: OOP Week 1 + 20 PYQ MCQs</t>
        </is>
      </c>
      <c r="F9" s="29" t="inlineStr">
        <is>
          <t>Quick Maths Revision</t>
        </is>
      </c>
      <c r="G9" s="29" t="inlineStr">
        <is>
          <t>REVISION DAY</t>
        </is>
      </c>
      <c r="H9" s="30" t="inlineStr"/>
      <c r="I9" s="25" t="inlineStr"/>
      <c r="J9" s="25" t="inlineStr"/>
      <c r="K9" s="25" t="inlineStr"/>
      <c r="L9" s="25" t="inlineStr"/>
      <c r="M9" s="26">
        <f>IF(H9="✅",100,IF(H9="🔄",50,0))</f>
        <v/>
      </c>
      <c r="N9" s="25" t="inlineStr"/>
      <c r="O9" s="25" t="inlineStr"/>
      <c r="P9" s="25" t="inlineStr"/>
      <c r="Q9" s="25" t="inlineStr"/>
      <c r="R9" s="25" t="inlineStr"/>
    </row>
    <row r="10" ht="28" customHeight="1">
      <c r="A10" s="21" t="n">
        <v>8</v>
      </c>
      <c r="B10" s="22" t="inlineStr"/>
      <c r="C10" s="22" t="inlineStr">
        <is>
          <t>🟥 Phase 1: Foundation</t>
        </is>
      </c>
      <c r="D10" s="22" t="inlineStr">
        <is>
          <t>Week 2</t>
        </is>
      </c>
      <c r="E10" s="23" t="inlineStr">
        <is>
          <t>C++ Variables, Data Types, Naming Rules</t>
        </is>
      </c>
      <c r="F10" s="23" t="inlineStr">
        <is>
          <t>Modern Indian History — Overview</t>
        </is>
      </c>
      <c r="G10" s="23" t="inlineStr">
        <is>
          <t>sizeof() does NOT evaluate; 123Variable is INVALID</t>
        </is>
      </c>
      <c r="H10" s="24" t="inlineStr"/>
      <c r="I10" s="25" t="inlineStr"/>
      <c r="J10" s="25" t="inlineStr"/>
      <c r="K10" s="25" t="inlineStr"/>
      <c r="L10" s="25" t="inlineStr"/>
      <c r="M10" s="26">
        <f>IF(H10="✅",100,IF(H10="🔄",50,0))</f>
        <v/>
      </c>
      <c r="N10" s="25" t="inlineStr"/>
      <c r="O10" s="25" t="inlineStr"/>
      <c r="P10" s="25" t="inlineStr"/>
      <c r="Q10" s="25" t="inlineStr"/>
      <c r="R10" s="25" t="inlineStr"/>
    </row>
    <row r="11" ht="28" customHeight="1">
      <c r="A11" s="21" t="n">
        <v>9</v>
      </c>
      <c r="B11" s="22" t="inlineStr"/>
      <c r="C11" s="22" t="inlineStr">
        <is>
          <t>🟥 Phase 1: Foundation</t>
        </is>
      </c>
      <c r="D11" s="22" t="inlineStr">
        <is>
          <t>Week 2</t>
        </is>
      </c>
      <c r="E11" s="23" t="inlineStr">
        <is>
          <t>Pointers in C++: NULL, delete, new vs malloc</t>
        </is>
      </c>
      <c r="F11" s="23" t="inlineStr">
        <is>
          <t>Champaran Satyagraha 1917</t>
        </is>
      </c>
      <c r="G11" s="23" t="inlineStr">
        <is>
          <t>delete NULL pointer = safe (no crash)</t>
        </is>
      </c>
      <c r="H11" s="24" t="inlineStr"/>
      <c r="I11" s="25" t="inlineStr"/>
      <c r="J11" s="25" t="inlineStr"/>
      <c r="K11" s="25" t="inlineStr"/>
      <c r="L11" s="25" t="inlineStr"/>
      <c r="M11" s="26">
        <f>IF(H11="✅",100,IF(H11="🔄",50,0))</f>
        <v/>
      </c>
      <c r="N11" s="25" t="inlineStr"/>
      <c r="O11" s="25" t="inlineStr"/>
      <c r="P11" s="25" t="inlineStr"/>
      <c r="Q11" s="25" t="inlineStr"/>
      <c r="R11" s="25" t="inlineStr"/>
    </row>
    <row r="12" ht="28" customHeight="1">
      <c r="A12" s="21" t="n">
        <v>10</v>
      </c>
      <c r="B12" s="22" t="inlineStr"/>
      <c r="C12" s="22" t="inlineStr">
        <is>
          <t>🟥 Phase 1: Foundation</t>
        </is>
      </c>
      <c r="D12" s="22" t="inlineStr">
        <is>
          <t>Week 2</t>
        </is>
      </c>
      <c r="E12" s="23" t="inlineStr">
        <is>
          <t>Arrays in C++: 1D/2D, is_array(), rank()</t>
        </is>
      </c>
      <c r="F12" s="23" t="inlineStr">
        <is>
          <t>Non-Cooperation Movement</t>
        </is>
      </c>
      <c r="G12" s="23" t="inlineStr">
        <is>
          <t>char s1[]+s2[] = COMPILE ERROR (can't use + with char arrays)</t>
        </is>
      </c>
      <c r="H12" s="24" t="inlineStr"/>
      <c r="I12" s="25" t="inlineStr"/>
      <c r="J12" s="25" t="inlineStr"/>
      <c r="K12" s="25" t="inlineStr"/>
      <c r="L12" s="25" t="inlineStr"/>
      <c r="M12" s="26">
        <f>IF(H12="✅",100,IF(H12="🔄",50,0))</f>
        <v/>
      </c>
      <c r="N12" s="25" t="inlineStr"/>
      <c r="O12" s="25" t="inlineStr"/>
      <c r="P12" s="25" t="inlineStr"/>
      <c r="Q12" s="25" t="inlineStr"/>
      <c r="R12" s="25" t="inlineStr"/>
    </row>
    <row r="13" ht="28" customHeight="1">
      <c r="A13" s="21" t="n">
        <v>11</v>
      </c>
      <c r="B13" s="22" t="inlineStr"/>
      <c r="C13" s="22" t="inlineStr">
        <is>
          <t>🟥 Phase 1: Foundation</t>
        </is>
      </c>
      <c r="D13" s="22" t="inlineStr">
        <is>
          <t>Week 2</t>
        </is>
      </c>
      <c r="E13" s="23" t="inlineStr">
        <is>
          <t>File Handling: ios::in/out/trunc/app/binary</t>
        </is>
      </c>
      <c r="F13" s="23" t="inlineStr">
        <is>
          <t>Civil Disobedience &amp; Salt March</t>
        </is>
      </c>
      <c r="G13" s="23" t="inlineStr">
        <is>
          <t>ios::trunc truncates file to zero; Ctrl+F9 = compile+run in TC++</t>
        </is>
      </c>
      <c r="H13" s="24" t="inlineStr"/>
      <c r="I13" s="25" t="inlineStr"/>
      <c r="J13" s="25" t="inlineStr"/>
      <c r="K13" s="25" t="inlineStr"/>
      <c r="L13" s="25" t="inlineStr"/>
      <c r="M13" s="26">
        <f>IF(H13="✅",100,IF(H13="🔄",50,0))</f>
        <v/>
      </c>
      <c r="N13" s="25" t="inlineStr"/>
      <c r="O13" s="25" t="inlineStr"/>
      <c r="P13" s="25" t="inlineStr"/>
      <c r="Q13" s="25" t="inlineStr"/>
      <c r="R13" s="25" t="inlineStr"/>
    </row>
    <row r="14" ht="28" customHeight="1">
      <c r="A14" s="21" t="n">
        <v>12</v>
      </c>
      <c r="B14" s="22" t="inlineStr"/>
      <c r="C14" s="22" t="inlineStr">
        <is>
          <t>🟥 Phase 1: Foundation</t>
        </is>
      </c>
      <c r="D14" s="22" t="inlineStr">
        <is>
          <t>Week 2</t>
        </is>
      </c>
      <c r="E14" s="23" t="inlineStr">
        <is>
          <t>Exception Handling (try/catch/throw) &amp; Inline Functions</t>
        </is>
      </c>
      <c r="F14" s="23" t="inlineStr">
        <is>
          <t>Quit India Movement 1942</t>
        </is>
      </c>
      <c r="G14" s="23" t="inlineStr">
        <is>
          <t>Inline functions = SMALL &amp; SIMPLE (not large/complex)</t>
        </is>
      </c>
      <c r="H14" s="24" t="inlineStr"/>
      <c r="I14" s="25" t="inlineStr"/>
      <c r="J14" s="25" t="inlineStr"/>
      <c r="K14" s="25" t="inlineStr"/>
      <c r="L14" s="25" t="inlineStr"/>
      <c r="M14" s="26">
        <f>IF(H14="✅",100,IF(H14="🔄",50,0))</f>
        <v/>
      </c>
      <c r="N14" s="25" t="inlineStr"/>
      <c r="O14" s="25" t="inlineStr"/>
      <c r="P14" s="25" t="inlineStr"/>
      <c r="Q14" s="25" t="inlineStr"/>
      <c r="R14" s="25" t="inlineStr"/>
    </row>
    <row r="15" ht="28" customHeight="1">
      <c r="A15" s="21" t="n">
        <v>13</v>
      </c>
      <c r="B15" s="22" t="inlineStr"/>
      <c r="C15" s="22" t="inlineStr">
        <is>
          <t>🟥 Phase 1: Foundation</t>
        </is>
      </c>
      <c r="D15" s="22" t="inlineStr">
        <is>
          <t>Week 2</t>
        </is>
      </c>
      <c r="E15" s="23" t="inlineStr">
        <is>
          <t>C++ Output Prediction: Bitwise, struct vs class</t>
        </is>
      </c>
      <c r="F15" s="23" t="inlineStr">
        <is>
          <t>Bihar History — Rajendra Prasad</t>
        </is>
      </c>
      <c r="G15" s="23" t="inlineStr">
        <is>
          <t>struct default = public; class default = private (only diff)</t>
        </is>
      </c>
      <c r="H15" s="24" t="inlineStr"/>
      <c r="I15" s="25" t="inlineStr"/>
      <c r="J15" s="25" t="inlineStr"/>
      <c r="K15" s="25" t="inlineStr"/>
      <c r="L15" s="25" t="inlineStr"/>
      <c r="M15" s="26">
        <f>IF(H15="✅",100,IF(H15="🔄",50,0))</f>
        <v/>
      </c>
      <c r="N15" s="25" t="inlineStr"/>
      <c r="O15" s="25" t="inlineStr"/>
      <c r="P15" s="25" t="inlineStr"/>
      <c r="Q15" s="25" t="inlineStr"/>
      <c r="R15" s="25" t="inlineStr"/>
    </row>
    <row r="16" ht="28" customHeight="1">
      <c r="A16" s="27" t="n">
        <v>14</v>
      </c>
      <c r="B16" s="28" t="inlineStr"/>
      <c r="C16" s="28" t="inlineStr">
        <is>
          <t>🟥 Phase 1: Foundation</t>
        </is>
      </c>
      <c r="D16" s="28" t="inlineStr">
        <is>
          <t>Week 2</t>
        </is>
      </c>
      <c r="E16" s="29" t="inlineStr">
        <is>
          <t>REVISION: C++ Week + 20 PYQ MCQs</t>
        </is>
      </c>
      <c r="F16" s="29" t="inlineStr">
        <is>
          <t>Revise Maths + History so far</t>
        </is>
      </c>
      <c r="G16" s="29" t="inlineStr">
        <is>
          <t>REVISION DAY</t>
        </is>
      </c>
      <c r="H16" s="30" t="inlineStr"/>
      <c r="I16" s="25" t="inlineStr"/>
      <c r="J16" s="25" t="inlineStr"/>
      <c r="K16" s="25" t="inlineStr"/>
      <c r="L16" s="25" t="inlineStr"/>
      <c r="M16" s="26">
        <f>IF(H16="✅",100,IF(H16="🔄",50,0))</f>
        <v/>
      </c>
      <c r="N16" s="25" t="inlineStr"/>
      <c r="O16" s="25" t="inlineStr"/>
      <c r="P16" s="25" t="inlineStr"/>
      <c r="Q16" s="25" t="inlineStr"/>
      <c r="R16" s="25" t="inlineStr"/>
    </row>
    <row r="17" ht="28" customHeight="1">
      <c r="A17" s="21" t="n">
        <v>15</v>
      </c>
      <c r="B17" s="22" t="inlineStr"/>
      <c r="C17" s="22" t="inlineStr">
        <is>
          <t>🟥 Phase 1: Foundation</t>
        </is>
      </c>
      <c r="D17" s="22" t="inlineStr">
        <is>
          <t>Week 3</t>
        </is>
      </c>
      <c r="E17" s="23" t="inlineStr">
        <is>
          <t>Arrays as DS: Complexity, Sparse Matrix, Locality</t>
        </is>
      </c>
      <c r="F17" s="23" t="inlineStr">
        <is>
          <t>Bihar Geography — Districts &amp; Rivers</t>
        </is>
      </c>
      <c r="G17" s="23" t="inlineStr">
        <is>
          <t>Random access O(1) = main advantage of arrays</t>
        </is>
      </c>
      <c r="H17" s="24" t="inlineStr"/>
      <c r="I17" s="25" t="inlineStr"/>
      <c r="J17" s="25" t="inlineStr"/>
      <c r="K17" s="25" t="inlineStr"/>
      <c r="L17" s="25" t="inlineStr"/>
      <c r="M17" s="26">
        <f>IF(H17="✅",100,IF(H17="🔄",50,0))</f>
        <v/>
      </c>
      <c r="N17" s="25" t="inlineStr"/>
      <c r="O17" s="25" t="inlineStr"/>
      <c r="P17" s="25" t="inlineStr"/>
      <c r="Q17" s="25" t="inlineStr"/>
      <c r="R17" s="25" t="inlineStr"/>
    </row>
    <row r="18" ht="28" customHeight="1">
      <c r="A18" s="21" t="n">
        <v>16</v>
      </c>
      <c r="B18" s="22" t="inlineStr"/>
      <c r="C18" s="22" t="inlineStr">
        <is>
          <t>🟥 Phase 1: Foundation</t>
        </is>
      </c>
      <c r="D18" s="22" t="inlineStr">
        <is>
          <t>Week 3</t>
        </is>
      </c>
      <c r="E18" s="23" t="inlineStr">
        <is>
          <t>Stack: LIFO, Push/Pop, Overflow/Underflow, Applications</t>
        </is>
      </c>
      <c r="F18" s="23" t="inlineStr">
        <is>
          <t>Bihar Geo — Rohtas, Bhagalpur</t>
        </is>
      </c>
      <c r="G18" s="23" t="inlineStr">
        <is>
          <t>Recursion uses STACK; Async data transfer uses QUEUE</t>
        </is>
      </c>
      <c r="H18" s="24" t="inlineStr"/>
      <c r="I18" s="25" t="inlineStr"/>
      <c r="J18" s="25" t="inlineStr"/>
      <c r="K18" s="25" t="inlineStr"/>
      <c r="L18" s="25" t="inlineStr"/>
      <c r="M18" s="26">
        <f>IF(H18="✅",100,IF(H18="🔄",50,0))</f>
        <v/>
      </c>
      <c r="N18" s="25" t="inlineStr"/>
      <c r="O18" s="25" t="inlineStr"/>
      <c r="P18" s="25" t="inlineStr"/>
      <c r="Q18" s="25" t="inlineStr"/>
      <c r="R18" s="25" t="inlineStr"/>
    </row>
    <row r="19" ht="28" customHeight="1">
      <c r="A19" s="21" t="n">
        <v>17</v>
      </c>
      <c r="B19" s="22" t="inlineStr"/>
      <c r="C19" s="22" t="inlineStr">
        <is>
          <t>🟥 Phase 1: Foundation</t>
        </is>
      </c>
      <c r="D19" s="22" t="inlineStr">
        <is>
          <t>Week 3</t>
        </is>
      </c>
      <c r="E19" s="23" t="inlineStr">
        <is>
          <t>Stack: Infix→Postfix/Prefix Conversion O(N)</t>
        </is>
      </c>
      <c r="F19" s="23" t="inlineStr">
        <is>
          <t>India Geography — Eastern Ghats</t>
        </is>
      </c>
      <c r="G19" s="23" t="inlineStr">
        <is>
          <t>Infix to Postfix = O(N); uses Stack</t>
        </is>
      </c>
      <c r="H19" s="24" t="inlineStr"/>
      <c r="I19" s="25" t="inlineStr"/>
      <c r="J19" s="25" t="inlineStr"/>
      <c r="K19" s="25" t="inlineStr"/>
      <c r="L19" s="25" t="inlineStr"/>
      <c r="M19" s="26">
        <f>IF(H19="✅",100,IF(H19="🔄",50,0))</f>
        <v/>
      </c>
      <c r="N19" s="25" t="inlineStr"/>
      <c r="O19" s="25" t="inlineStr"/>
      <c r="P19" s="25" t="inlineStr"/>
      <c r="Q19" s="25" t="inlineStr"/>
      <c r="R19" s="25" t="inlineStr"/>
    </row>
    <row r="20" ht="28" customHeight="1">
      <c r="A20" s="21" t="n">
        <v>18</v>
      </c>
      <c r="B20" s="22" t="inlineStr"/>
      <c r="C20" s="22" t="inlineStr">
        <is>
          <t>🟥 Phase 1: Foundation</t>
        </is>
      </c>
      <c r="D20" s="22" t="inlineStr">
        <is>
          <t>Week 3</t>
        </is>
      </c>
      <c r="E20" s="23" t="inlineStr">
        <is>
          <t>Queue: FIFO, Enqueue/Dequeue, Overflow/Underflow</t>
        </is>
      </c>
      <c r="F20" s="23" t="inlineStr">
        <is>
          <t>India Geography — Peninsular Plateau</t>
        </is>
      </c>
      <c r="G20" s="23" t="inlineStr">
        <is>
          <t>Before delete = check UNDERFLOW; Before insert = check OVERFLOW</t>
        </is>
      </c>
      <c r="H20" s="24" t="inlineStr"/>
      <c r="I20" s="25" t="inlineStr"/>
      <c r="J20" s="25" t="inlineStr"/>
      <c r="K20" s="25" t="inlineStr"/>
      <c r="L20" s="25" t="inlineStr"/>
      <c r="M20" s="26">
        <f>IF(H20="✅",100,IF(H20="🔄",50,0))</f>
        <v/>
      </c>
      <c r="N20" s="25" t="inlineStr"/>
      <c r="O20" s="25" t="inlineStr"/>
      <c r="P20" s="25" t="inlineStr"/>
      <c r="Q20" s="25" t="inlineStr"/>
      <c r="R20" s="25" t="inlineStr"/>
    </row>
    <row r="21" ht="28" customHeight="1">
      <c r="A21" s="21" t="n">
        <v>19</v>
      </c>
      <c r="B21" s="22" t="inlineStr"/>
      <c r="C21" s="22" t="inlineStr">
        <is>
          <t>🟥 Phase 1: Foundation</t>
        </is>
      </c>
      <c r="D21" s="22" t="inlineStr">
        <is>
          <t>Week 3</t>
        </is>
      </c>
      <c r="E21" s="23" t="inlineStr">
        <is>
          <t>Circular Queue (Ring Buffer) &amp; Deque</t>
        </is>
      </c>
      <c r="F21" s="23" t="inlineStr">
        <is>
          <t>India Climate — Monsoon</t>
        </is>
      </c>
      <c r="G21" s="23" t="inlineStr">
        <is>
          <t>Circular Queue empty: front=rear=-1; created to avoid memory waste</t>
        </is>
      </c>
      <c r="H21" s="24" t="inlineStr"/>
      <c r="I21" s="25" t="inlineStr"/>
      <c r="J21" s="25" t="inlineStr"/>
      <c r="K21" s="25" t="inlineStr"/>
      <c r="L21" s="25" t="inlineStr"/>
      <c r="M21" s="26">
        <f>IF(H21="✅",100,IF(H21="🔄",50,0))</f>
        <v/>
      </c>
      <c r="N21" s="25" t="inlineStr"/>
      <c r="O21" s="25" t="inlineStr"/>
      <c r="P21" s="25" t="inlineStr"/>
      <c r="Q21" s="25" t="inlineStr"/>
      <c r="R21" s="25" t="inlineStr"/>
    </row>
    <row r="22" ht="28" customHeight="1">
      <c r="A22" s="21" t="n">
        <v>20</v>
      </c>
      <c r="B22" s="22" t="inlineStr"/>
      <c r="C22" s="22" t="inlineStr">
        <is>
          <t>🟥 Phase 1: Foundation</t>
        </is>
      </c>
      <c r="D22" s="22" t="inlineStr">
        <is>
          <t>Week 3</t>
        </is>
      </c>
      <c r="E22" s="23" t="inlineStr">
        <is>
          <t>Priority Queue, Binary Heap, Queue Applications</t>
        </is>
      </c>
      <c r="F22" s="23" t="inlineStr">
        <is>
          <t>Indian Polity — Constitution Basics</t>
        </is>
      </c>
      <c r="G22" s="23" t="inlineStr">
        <is>
          <t>Priority Queue best = Binary Heap</t>
        </is>
      </c>
      <c r="H22" s="24" t="inlineStr"/>
      <c r="I22" s="25" t="inlineStr"/>
      <c r="J22" s="25" t="inlineStr"/>
      <c r="K22" s="25" t="inlineStr"/>
      <c r="L22" s="25" t="inlineStr"/>
      <c r="M22" s="26">
        <f>IF(H22="✅",100,IF(H22="🔄",50,0))</f>
        <v/>
      </c>
      <c r="N22" s="25" t="inlineStr"/>
      <c r="O22" s="25" t="inlineStr"/>
      <c r="P22" s="25" t="inlineStr"/>
      <c r="Q22" s="25" t="inlineStr"/>
      <c r="R22" s="25" t="inlineStr"/>
    </row>
    <row r="23" ht="28" customHeight="1">
      <c r="A23" s="27" t="n">
        <v>21</v>
      </c>
      <c r="B23" s="28" t="inlineStr"/>
      <c r="C23" s="28" t="inlineStr">
        <is>
          <t>🟥 Phase 1: Foundation</t>
        </is>
      </c>
      <c r="D23" s="28" t="inlineStr">
        <is>
          <t>Week 3</t>
        </is>
      </c>
      <c r="E23" s="29" t="inlineStr">
        <is>
          <t>REVISION: Arrays, Stack, Queue + 25 PYQ MCQs</t>
        </is>
      </c>
      <c r="F23" s="29" t="inlineStr">
        <is>
          <t>Revise Geography so far</t>
        </is>
      </c>
      <c r="G23" s="29" t="inlineStr">
        <is>
          <t>REVISION DAY</t>
        </is>
      </c>
      <c r="H23" s="30" t="inlineStr"/>
      <c r="I23" s="25" t="inlineStr"/>
      <c r="J23" s="25" t="inlineStr"/>
      <c r="K23" s="25" t="inlineStr"/>
      <c r="L23" s="25" t="inlineStr"/>
      <c r="M23" s="26">
        <f>IF(H23="✅",100,IF(H23="🔄",50,0))</f>
        <v/>
      </c>
      <c r="N23" s="25" t="inlineStr"/>
      <c r="O23" s="25" t="inlineStr"/>
      <c r="P23" s="25" t="inlineStr"/>
      <c r="Q23" s="25" t="inlineStr"/>
      <c r="R23" s="25" t="inlineStr"/>
    </row>
    <row r="24" ht="28" customHeight="1">
      <c r="A24" s="21" t="n">
        <v>22</v>
      </c>
      <c r="B24" s="22" t="inlineStr"/>
      <c r="C24" s="22" t="inlineStr">
        <is>
          <t>🟥 Phase 1: Foundation</t>
        </is>
      </c>
      <c r="D24" s="22" t="inlineStr">
        <is>
          <t>Week 4</t>
        </is>
      </c>
      <c r="E24" s="23" t="inlineStr">
        <is>
          <t>Singly Linked List: Node, Operations, Complexity</t>
        </is>
      </c>
      <c r="F24" s="23" t="inlineStr">
        <is>
          <t>Indian Polity — Fundamental Rights</t>
        </is>
      </c>
      <c r="G24" s="23" t="inlineStr">
        <is>
          <t>Linked list = NO random access</t>
        </is>
      </c>
      <c r="H24" s="24" t="inlineStr"/>
      <c r="I24" s="25" t="inlineStr"/>
      <c r="J24" s="25" t="inlineStr"/>
      <c r="K24" s="25" t="inlineStr"/>
      <c r="L24" s="25" t="inlineStr"/>
      <c r="M24" s="26">
        <f>IF(H24="✅",100,IF(H24="🔄",50,0))</f>
        <v/>
      </c>
      <c r="N24" s="25" t="inlineStr"/>
      <c r="O24" s="25" t="inlineStr"/>
      <c r="P24" s="25" t="inlineStr"/>
      <c r="Q24" s="25" t="inlineStr"/>
      <c r="R24" s="25" t="inlineStr"/>
    </row>
    <row r="25" ht="28" customHeight="1">
      <c r="A25" s="21" t="n">
        <v>23</v>
      </c>
      <c r="B25" s="22" t="inlineStr"/>
      <c r="C25" s="22" t="inlineStr">
        <is>
          <t>🟥 Phase 1: Foundation</t>
        </is>
      </c>
      <c r="D25" s="22" t="inlineStr">
        <is>
          <t>Week 4</t>
        </is>
      </c>
      <c r="E25" s="23" t="inlineStr">
        <is>
          <t>Doubly LL &amp; Circular LL</t>
        </is>
      </c>
      <c r="F25" s="23" t="inlineStr">
        <is>
          <t>Indian Polity — Directive Principles</t>
        </is>
      </c>
      <c r="G25" s="23" t="inlineStr">
        <is>
          <t>Doubly LL = HARDER to implement than singly</t>
        </is>
      </c>
      <c r="H25" s="24" t="inlineStr"/>
      <c r="I25" s="25" t="inlineStr"/>
      <c r="J25" s="25" t="inlineStr"/>
      <c r="K25" s="25" t="inlineStr"/>
      <c r="L25" s="25" t="inlineStr"/>
      <c r="M25" s="26">
        <f>IF(H25="✅",100,IF(H25="🔄",50,0))</f>
        <v/>
      </c>
      <c r="N25" s="25" t="inlineStr"/>
      <c r="O25" s="25" t="inlineStr"/>
      <c r="P25" s="25" t="inlineStr"/>
      <c r="Q25" s="25" t="inlineStr"/>
      <c r="R25" s="25" t="inlineStr"/>
    </row>
    <row r="26" ht="28" customHeight="1">
      <c r="A26" s="21" t="n">
        <v>24</v>
      </c>
      <c r="B26" s="22" t="inlineStr"/>
      <c r="C26" s="22" t="inlineStr">
        <is>
          <t>🟥 Phase 1: Foundation</t>
        </is>
      </c>
      <c r="D26" s="22" t="inlineStr">
        <is>
          <t>Week 4</t>
        </is>
      </c>
      <c r="E26" s="23" t="inlineStr">
        <is>
          <t>Trees: Preorder/Inorder/Postorder, Binary Tree Types</t>
        </is>
      </c>
      <c r="F26" s="23" t="inlineStr">
        <is>
          <t>Physics — Bernoulli's Principle</t>
        </is>
      </c>
      <c r="G26" s="23" t="inlineStr">
        <is>
          <t>Randomized traversal does NOT exist</t>
        </is>
      </c>
      <c r="H26" s="24" t="inlineStr"/>
      <c r="I26" s="25" t="inlineStr"/>
      <c r="J26" s="25" t="inlineStr"/>
      <c r="K26" s="25" t="inlineStr"/>
      <c r="L26" s="25" t="inlineStr"/>
      <c r="M26" s="26">
        <f>IF(H26="✅",100,IF(H26="🔄",50,0))</f>
        <v/>
      </c>
      <c r="N26" s="25" t="inlineStr"/>
      <c r="O26" s="25" t="inlineStr"/>
      <c r="P26" s="25" t="inlineStr"/>
      <c r="Q26" s="25" t="inlineStr"/>
      <c r="R26" s="25" t="inlineStr"/>
    </row>
    <row r="27" ht="28" customHeight="1">
      <c r="A27" s="21" t="n">
        <v>25</v>
      </c>
      <c r="B27" s="22" t="inlineStr"/>
      <c r="C27" s="22" t="inlineStr">
        <is>
          <t>🟥 Phase 1: Foundation</t>
        </is>
      </c>
      <c r="D27" s="22" t="inlineStr">
        <is>
          <t>Week 4</t>
        </is>
      </c>
      <c r="E27" s="23" t="inlineStr">
        <is>
          <t>BST Properties, Catalan Numbers C(4)=14</t>
        </is>
      </c>
      <c r="F27" s="23" t="inlineStr">
        <is>
          <t>Physics — Electricity P=I²R</t>
        </is>
      </c>
      <c r="G27" s="23" t="inlineStr">
        <is>
          <t>BST: Left&lt;Root&lt;Right (all nodes). C(4)=14 distinct BSTs</t>
        </is>
      </c>
      <c r="H27" s="24" t="inlineStr"/>
      <c r="I27" s="25" t="inlineStr"/>
      <c r="J27" s="25" t="inlineStr"/>
      <c r="K27" s="25" t="inlineStr"/>
      <c r="L27" s="25" t="inlineStr"/>
      <c r="M27" s="26">
        <f>IF(H27="✅",100,IF(H27="🔄",50,0))</f>
        <v/>
      </c>
      <c r="N27" s="25" t="inlineStr"/>
      <c r="O27" s="25" t="inlineStr"/>
      <c r="P27" s="25" t="inlineStr"/>
      <c r="Q27" s="25" t="inlineStr"/>
      <c r="R27" s="25" t="inlineStr"/>
    </row>
    <row r="28" ht="28" customHeight="1">
      <c r="A28" s="21" t="n">
        <v>26</v>
      </c>
      <c r="B28" s="22" t="inlineStr"/>
      <c r="C28" s="22" t="inlineStr">
        <is>
          <t>🟥 Phase 1: Foundation</t>
        </is>
      </c>
      <c r="D28" s="22" t="inlineStr">
        <is>
          <t>Week 4</t>
        </is>
      </c>
      <c r="E28" s="23" t="inlineStr">
        <is>
          <t>Red-Black Tree, Balanced Trees, Spanning Tree N-1 edges</t>
        </is>
      </c>
      <c r="F28" s="23" t="inlineStr">
        <is>
          <t>Biology — Reproduction</t>
        </is>
      </c>
      <c r="G28" s="23" t="inlineStr">
        <is>
          <t>New root=BLACK; new non-root=RED. Spanning tree: N-1 edges</t>
        </is>
      </c>
      <c r="H28" s="24" t="inlineStr"/>
      <c r="I28" s="25" t="inlineStr"/>
      <c r="J28" s="25" t="inlineStr"/>
      <c r="K28" s="25" t="inlineStr"/>
      <c r="L28" s="25" t="inlineStr"/>
      <c r="M28" s="26">
        <f>IF(H28="✅",100,IF(H28="🔄",50,0))</f>
        <v/>
      </c>
      <c r="N28" s="25" t="inlineStr"/>
      <c r="O28" s="25" t="inlineStr"/>
      <c r="P28" s="25" t="inlineStr"/>
      <c r="Q28" s="25" t="inlineStr"/>
      <c r="R28" s="25" t="inlineStr"/>
    </row>
    <row r="29" ht="28" customHeight="1">
      <c r="A29" s="21" t="n">
        <v>27</v>
      </c>
      <c r="B29" s="22" t="inlineStr"/>
      <c r="C29" s="22" t="inlineStr">
        <is>
          <t>🟥 Phase 1: Foundation</t>
        </is>
      </c>
      <c r="D29" s="22" t="inlineStr">
        <is>
          <t>Week 4</t>
        </is>
      </c>
      <c r="E29" s="23" t="inlineStr">
        <is>
          <t>Graphs: BFS (Queue), DFS (Stack), Adjacency Matrix/List</t>
        </is>
      </c>
      <c r="F29" s="23" t="inlineStr">
        <is>
          <t>Biology — Ginger, Yeast, Budding</t>
        </is>
      </c>
      <c r="G29" s="23" t="inlineStr">
        <is>
          <t>BFS/DFS = graph traversals. Greedy/DP/D&amp;C = paradigms NOT traversals</t>
        </is>
      </c>
      <c r="H29" s="24" t="inlineStr"/>
      <c r="I29" s="25" t="inlineStr"/>
      <c r="J29" s="25" t="inlineStr"/>
      <c r="K29" s="25" t="inlineStr"/>
      <c r="L29" s="25" t="inlineStr"/>
      <c r="M29" s="26">
        <f>IF(H29="✅",100,IF(H29="🔄",50,0))</f>
        <v/>
      </c>
      <c r="N29" s="25" t="inlineStr"/>
      <c r="O29" s="25" t="inlineStr"/>
      <c r="P29" s="25" t="inlineStr"/>
      <c r="Q29" s="25" t="inlineStr"/>
      <c r="R29" s="25" t="inlineStr"/>
    </row>
    <row r="30" ht="28" customHeight="1">
      <c r="A30" s="27" t="n">
        <v>28</v>
      </c>
      <c r="B30" s="28" t="inlineStr"/>
      <c r="C30" s="28" t="inlineStr">
        <is>
          <t>🟥 Phase 1: Foundation</t>
        </is>
      </c>
      <c r="D30" s="28" t="inlineStr">
        <is>
          <t>Week 4</t>
        </is>
      </c>
      <c r="E30" s="29" t="inlineStr">
        <is>
          <t>REVISION: Linked Lists + Trees + 25 PYQ MCQs</t>
        </is>
      </c>
      <c r="F30" s="29" t="inlineStr">
        <is>
          <t>Revise Science so far</t>
        </is>
      </c>
      <c r="G30" s="29" t="inlineStr">
        <is>
          <t>REVISION DAY</t>
        </is>
      </c>
      <c r="H30" s="30" t="inlineStr"/>
      <c r="I30" s="25" t="inlineStr"/>
      <c r="J30" s="25" t="inlineStr"/>
      <c r="K30" s="25" t="inlineStr"/>
      <c r="L30" s="25" t="inlineStr"/>
      <c r="M30" s="26">
        <f>IF(H30="✅",100,IF(H30="🔄",50,0))</f>
        <v/>
      </c>
      <c r="N30" s="25" t="inlineStr"/>
      <c r="O30" s="25" t="inlineStr"/>
      <c r="P30" s="25" t="inlineStr"/>
      <c r="Q30" s="25" t="inlineStr"/>
      <c r="R30" s="25" t="inlineStr"/>
    </row>
    <row r="31" ht="28" customHeight="1">
      <c r="A31" s="21" t="n">
        <v>29</v>
      </c>
      <c r="B31" s="22" t="inlineStr"/>
      <c r="C31" s="22" t="inlineStr">
        <is>
          <t>🟥 Phase 1: Foundation</t>
        </is>
      </c>
      <c r="D31" s="22" t="inlineStr">
        <is>
          <t>Week 5</t>
        </is>
      </c>
      <c r="E31" s="23" t="inlineStr">
        <is>
          <t>Big-O Notation: Upper Bound, Common Complexities</t>
        </is>
      </c>
      <c r="F31" s="23" t="inlineStr">
        <is>
          <t>Current Affairs — ISRO Missions</t>
        </is>
      </c>
      <c r="G31" s="23" t="inlineStr">
        <is>
          <t>Big-O=upper bound. Binary search O(logN), Merge sort O(NlogN)</t>
        </is>
      </c>
      <c r="H31" s="24" t="inlineStr"/>
      <c r="I31" s="25" t="inlineStr"/>
      <c r="J31" s="25" t="inlineStr"/>
      <c r="K31" s="25" t="inlineStr"/>
      <c r="L31" s="25" t="inlineStr"/>
      <c r="M31" s="26">
        <f>IF(H31="✅",100,IF(H31="🔄",50,0))</f>
        <v/>
      </c>
      <c r="N31" s="25" t="inlineStr"/>
      <c r="O31" s="25" t="inlineStr"/>
      <c r="P31" s="25" t="inlineStr"/>
      <c r="Q31" s="25" t="inlineStr"/>
      <c r="R31" s="25" t="inlineStr"/>
    </row>
    <row r="32" ht="28" customHeight="1">
      <c r="A32" s="21" t="n">
        <v>30</v>
      </c>
      <c r="B32" s="22" t="inlineStr"/>
      <c r="C32" s="22" t="inlineStr">
        <is>
          <t>🟥 Phase 1: Foundation</t>
        </is>
      </c>
      <c r="D32" s="22" t="inlineStr">
        <is>
          <t>Week 5</t>
        </is>
      </c>
      <c r="E32" s="23" t="inlineStr">
        <is>
          <t>Bubble/Selection/Insertion Sort: O(N²) worst</t>
        </is>
      </c>
      <c r="F32" s="23" t="inlineStr">
        <is>
          <t>Current Affairs — G20, G7</t>
        </is>
      </c>
      <c r="G32" s="23" t="inlineStr">
        <is>
          <t>Bubble sort O(N²) worst; O(N) best (already sorted)</t>
        </is>
      </c>
      <c r="H32" s="24" t="inlineStr"/>
      <c r="I32" s="25" t="inlineStr"/>
      <c r="J32" s="25" t="inlineStr"/>
      <c r="K32" s="25" t="inlineStr"/>
      <c r="L32" s="25" t="inlineStr"/>
      <c r="M32" s="26">
        <f>IF(H32="✅",100,IF(H32="🔄",50,0))</f>
        <v/>
      </c>
      <c r="N32" s="25" t="inlineStr"/>
      <c r="O32" s="25" t="inlineStr"/>
      <c r="P32" s="25" t="inlineStr"/>
      <c r="Q32" s="25" t="inlineStr"/>
      <c r="R32" s="25" t="inlineStr"/>
    </row>
    <row r="33" ht="28" customHeight="1">
      <c r="A33" s="21" t="n">
        <v>31</v>
      </c>
      <c r="B33" s="22" t="inlineStr"/>
      <c r="C33" s="22" t="inlineStr">
        <is>
          <t>🟥 Phase 1: Foundation</t>
        </is>
      </c>
      <c r="D33" s="22" t="inlineStr">
        <is>
          <t>Week 5</t>
        </is>
      </c>
      <c r="E33" s="23" t="inlineStr">
        <is>
          <t>Merge Sort &amp; Quick Sort: Divide &amp; Conquer</t>
        </is>
      </c>
      <c r="F33" s="23" t="inlineStr">
        <is>
          <t>Current Affairs — UPI, Banking</t>
        </is>
      </c>
      <c r="G33" s="23" t="inlineStr">
        <is>
          <t>Both Merge &amp; Quick = D&amp;C. Merge = O(NlogN) always</t>
        </is>
      </c>
      <c r="H33" s="24" t="inlineStr"/>
      <c r="I33" s="25" t="inlineStr"/>
      <c r="J33" s="25" t="inlineStr"/>
      <c r="K33" s="25" t="inlineStr"/>
      <c r="L33" s="25" t="inlineStr"/>
      <c r="M33" s="26">
        <f>IF(H33="✅",100,IF(H33="🔄",50,0))</f>
        <v/>
      </c>
      <c r="N33" s="25" t="inlineStr"/>
      <c r="O33" s="25" t="inlineStr"/>
      <c r="P33" s="25" t="inlineStr"/>
      <c r="Q33" s="25" t="inlineStr"/>
      <c r="R33" s="25" t="inlineStr"/>
    </row>
    <row r="34" ht="28" customHeight="1">
      <c r="A34" s="21" t="n">
        <v>32</v>
      </c>
      <c r="B34" s="22" t="inlineStr"/>
      <c r="C34" s="22" t="inlineStr">
        <is>
          <t>🟥 Phase 1: Foundation</t>
        </is>
      </c>
      <c r="D34" s="22" t="inlineStr">
        <is>
          <t>Week 5</t>
        </is>
      </c>
      <c r="E34" s="23" t="inlineStr">
        <is>
          <t>Binary Search O(logN), Hashing O(1) average</t>
        </is>
      </c>
      <c r="F34" s="23" t="inlineStr">
        <is>
          <t>Nobel Prize Winners</t>
        </is>
      </c>
      <c r="G34" s="23" t="inlineStr">
        <is>
          <t>Binary search requires SORTED array; Hash Table = best for freq ops</t>
        </is>
      </c>
      <c r="H34" s="24" t="inlineStr"/>
      <c r="I34" s="25" t="inlineStr"/>
      <c r="J34" s="25" t="inlineStr"/>
      <c r="K34" s="25" t="inlineStr"/>
      <c r="L34" s="25" t="inlineStr"/>
      <c r="M34" s="26">
        <f>IF(H34="✅",100,IF(H34="🔄",50,0))</f>
        <v/>
      </c>
      <c r="N34" s="25" t="inlineStr"/>
      <c r="O34" s="25" t="inlineStr"/>
      <c r="P34" s="25" t="inlineStr"/>
      <c r="Q34" s="25" t="inlineStr"/>
      <c r="R34" s="25" t="inlineStr"/>
    </row>
    <row r="35" ht="28" customHeight="1">
      <c r="A35" s="21" t="n">
        <v>33</v>
      </c>
      <c r="B35" s="22" t="inlineStr"/>
      <c r="C35" s="22" t="inlineStr">
        <is>
          <t>🟥 Phase 1: Foundation</t>
        </is>
      </c>
      <c r="D35" s="22" t="inlineStr">
        <is>
          <t>Week 5</t>
        </is>
      </c>
      <c r="E35" s="23" t="inlineStr">
        <is>
          <t>NP-Complete: TSP vs Shortest Path (Polynomial)</t>
        </is>
      </c>
      <c r="F35" s="23" t="inlineStr">
        <is>
          <t>Bihar GK — Industries &amp; Economy</t>
        </is>
      </c>
      <c r="G35" s="23" t="inlineStr">
        <is>
          <t>Shortest Path = Polynomial. TSP = NP-Complete</t>
        </is>
      </c>
      <c r="H35" s="24" t="inlineStr"/>
      <c r="I35" s="25" t="inlineStr"/>
      <c r="J35" s="25" t="inlineStr"/>
      <c r="K35" s="25" t="inlineStr"/>
      <c r="L35" s="25" t="inlineStr"/>
      <c r="M35" s="26">
        <f>IF(H35="✅",100,IF(H35="🔄",50,0))</f>
        <v/>
      </c>
      <c r="N35" s="25" t="inlineStr"/>
      <c r="O35" s="25" t="inlineStr"/>
      <c r="P35" s="25" t="inlineStr"/>
      <c r="Q35" s="25" t="inlineStr"/>
      <c r="R35" s="25" t="inlineStr"/>
    </row>
    <row r="36" ht="28" customHeight="1">
      <c r="A36" s="21" t="n">
        <v>34</v>
      </c>
      <c r="B36" s="22" t="inlineStr"/>
      <c r="C36" s="22" t="inlineStr">
        <is>
          <t>🟥 Phase 1: Foundation</t>
        </is>
      </c>
      <c r="D36" s="22" t="inlineStr">
        <is>
          <t>Week 5</t>
        </is>
      </c>
      <c r="E36" s="23" t="inlineStr">
        <is>
          <t>PYQ Special: Full DSA Practice — 30 Questions</t>
        </is>
      </c>
      <c r="F36" s="23" t="inlineStr">
        <is>
          <t>Bihar GK — Geography</t>
        </is>
      </c>
      <c r="G36" s="23" t="inlineStr">
        <is>
          <t>PRACTICE DAY — Catalan, Circular Queue, Expression Conversion</t>
        </is>
      </c>
      <c r="H36" s="24" t="inlineStr"/>
      <c r="I36" s="25" t="inlineStr"/>
      <c r="J36" s="25" t="inlineStr"/>
      <c r="K36" s="25" t="inlineStr"/>
      <c r="L36" s="25" t="inlineStr"/>
      <c r="M36" s="26">
        <f>IF(H36="✅",100,IF(H36="🔄",50,0))</f>
        <v/>
      </c>
      <c r="N36" s="25" t="inlineStr"/>
      <c r="O36" s="25" t="inlineStr"/>
      <c r="P36" s="25" t="inlineStr"/>
      <c r="Q36" s="25" t="inlineStr"/>
      <c r="R36" s="25" t="inlineStr"/>
    </row>
    <row r="37" ht="28" customHeight="1">
      <c r="A37" s="27" t="n">
        <v>35</v>
      </c>
      <c r="B37" s="28" t="inlineStr"/>
      <c r="C37" s="28" t="inlineStr">
        <is>
          <t>🟥 Phase 1: Foundation</t>
        </is>
      </c>
      <c r="D37" s="28" t="inlineStr">
        <is>
          <t>Week 5</t>
        </is>
      </c>
      <c r="E37" s="29" t="inlineStr">
        <is>
          <t>REVISION: Algorithms + Full DSA Review Quiz</t>
        </is>
      </c>
      <c r="F37" s="29" t="inlineStr">
        <is>
          <t>Full GS Revision so far</t>
        </is>
      </c>
      <c r="G37" s="29" t="inlineStr">
        <is>
          <t>REVISION DAY</t>
        </is>
      </c>
      <c r="H37" s="30" t="inlineStr"/>
      <c r="I37" s="25" t="inlineStr"/>
      <c r="J37" s="25" t="inlineStr"/>
      <c r="K37" s="25" t="inlineStr"/>
      <c r="L37" s="25" t="inlineStr"/>
      <c r="M37" s="26">
        <f>IF(H37="✅",100,IF(H37="🔄",50,0))</f>
        <v/>
      </c>
      <c r="N37" s="25" t="inlineStr"/>
      <c r="O37" s="25" t="inlineStr"/>
      <c r="P37" s="25" t="inlineStr"/>
      <c r="Q37" s="25" t="inlineStr"/>
      <c r="R37" s="25" t="inlineStr"/>
    </row>
    <row r="38" ht="28" customHeight="1">
      <c r="A38" s="21" t="n">
        <v>36</v>
      </c>
      <c r="B38" s="22" t="inlineStr"/>
      <c r="C38" s="22" t="inlineStr">
        <is>
          <t>🟥 Phase 1: Foundation</t>
        </is>
      </c>
      <c r="D38" s="22" t="inlineStr">
        <is>
          <t>Week 6</t>
        </is>
      </c>
      <c r="E38" s="23" t="inlineStr">
        <is>
          <t>DBMS Concepts: Types, Features, Interface</t>
        </is>
      </c>
      <c r="F38" s="23" t="inlineStr">
        <is>
          <t>History — Ghadar Party, Abhinav Bharat</t>
        </is>
      </c>
      <c r="G38" s="23" t="inlineStr">
        <is>
          <t>DBMS = MULTI-user (single-user = limitation). Google NOT a DBMS</t>
        </is>
      </c>
      <c r="H38" s="24" t="inlineStr"/>
      <c r="I38" s="25" t="inlineStr"/>
      <c r="J38" s="25" t="inlineStr"/>
      <c r="K38" s="25" t="inlineStr"/>
      <c r="L38" s="25" t="inlineStr"/>
      <c r="M38" s="26">
        <f>IF(H38="✅",100,IF(H38="🔄",50,0))</f>
        <v/>
      </c>
      <c r="N38" s="25" t="inlineStr"/>
      <c r="O38" s="25" t="inlineStr"/>
      <c r="P38" s="25" t="inlineStr"/>
      <c r="Q38" s="25" t="inlineStr"/>
      <c r="R38" s="25" t="inlineStr"/>
    </row>
    <row r="39" ht="28" customHeight="1">
      <c r="A39" s="21" t="n">
        <v>37</v>
      </c>
      <c r="B39" s="22" t="inlineStr"/>
      <c r="C39" s="22" t="inlineStr">
        <is>
          <t>🟥 Phase 1: Foundation</t>
        </is>
      </c>
      <c r="D39" s="22" t="inlineStr">
        <is>
          <t>Week 6</t>
        </is>
      </c>
      <c r="E39" s="23" t="inlineStr">
        <is>
          <t>DBMS Keys: Superkey, Candidate, Primary, Foreign</t>
        </is>
      </c>
      <c r="F39" s="23" t="inlineStr">
        <is>
          <t>History — Birsa Munda, Anushilan Samiti</t>
        </is>
      </c>
      <c r="G39" s="23" t="inlineStr">
        <is>
          <t>Only 1 Primary Key per table. FK references PK of another table</t>
        </is>
      </c>
      <c r="H39" s="24" t="inlineStr"/>
      <c r="I39" s="25" t="inlineStr"/>
      <c r="J39" s="25" t="inlineStr"/>
      <c r="K39" s="25" t="inlineStr"/>
      <c r="L39" s="25" t="inlineStr"/>
      <c r="M39" s="26">
        <f>IF(H39="✅",100,IF(H39="🔄",50,0))</f>
        <v/>
      </c>
      <c r="N39" s="25" t="inlineStr"/>
      <c r="O39" s="25" t="inlineStr"/>
      <c r="P39" s="25" t="inlineStr"/>
      <c r="Q39" s="25" t="inlineStr"/>
      <c r="R39" s="25" t="inlineStr"/>
    </row>
    <row r="40" ht="28" customHeight="1">
      <c r="A40" s="21" t="n">
        <v>38</v>
      </c>
      <c r="B40" s="22" t="inlineStr"/>
      <c r="C40" s="22" t="inlineStr">
        <is>
          <t>🟥 Phase 1: Foundation</t>
        </is>
      </c>
      <c r="D40" s="22" t="inlineStr">
        <is>
          <t>Week 6</t>
        </is>
      </c>
      <c r="E40" s="23" t="inlineStr">
        <is>
          <t>ER Model, Relational Model, Metadata</t>
        </is>
      </c>
      <c r="F40" s="23" t="inlineStr">
        <is>
          <t>Geography — Black Soil, Cotton Belt</t>
        </is>
      </c>
      <c r="G40" s="23" t="inlineStr">
        <is>
          <t>Metadata = info about data. Relation=table, Tuple=row</t>
        </is>
      </c>
      <c r="H40" s="24" t="inlineStr"/>
      <c r="I40" s="25" t="inlineStr"/>
      <c r="J40" s="25" t="inlineStr"/>
      <c r="K40" s="25" t="inlineStr"/>
      <c r="L40" s="25" t="inlineStr"/>
      <c r="M40" s="26">
        <f>IF(H40="✅",100,IF(H40="🔄",50,0))</f>
        <v/>
      </c>
      <c r="N40" s="25" t="inlineStr"/>
      <c r="O40" s="25" t="inlineStr"/>
      <c r="P40" s="25" t="inlineStr"/>
      <c r="Q40" s="25" t="inlineStr"/>
      <c r="R40" s="25" t="inlineStr"/>
    </row>
    <row r="41" ht="28" customHeight="1">
      <c r="A41" s="21" t="n">
        <v>39</v>
      </c>
      <c r="B41" s="22" t="inlineStr"/>
      <c r="C41" s="22" t="inlineStr">
        <is>
          <t>🟥 Phase 1: Foundation</t>
        </is>
      </c>
      <c r="D41" s="22" t="inlineStr">
        <is>
          <t>Week 6</t>
        </is>
      </c>
      <c r="E41" s="23" t="inlineStr">
        <is>
          <t>Normalization: 1NF, 2NF, 3NF, BCNF</t>
        </is>
      </c>
      <c r="F41" s="23" t="inlineStr">
        <is>
          <t>Geography — India's Climate Zones</t>
        </is>
      </c>
      <c r="G41" s="23" t="inlineStr">
        <is>
          <t>3NF = adequate for normal RDBMS. 2NF = no partial dependencies</t>
        </is>
      </c>
      <c r="H41" s="24" t="inlineStr"/>
      <c r="I41" s="25" t="inlineStr"/>
      <c r="J41" s="25" t="inlineStr"/>
      <c r="K41" s="25" t="inlineStr"/>
      <c r="L41" s="25" t="inlineStr"/>
      <c r="M41" s="26">
        <f>IF(H41="✅",100,IF(H41="🔄",50,0))</f>
        <v/>
      </c>
      <c r="N41" s="25" t="inlineStr"/>
      <c r="O41" s="25" t="inlineStr"/>
      <c r="P41" s="25" t="inlineStr"/>
      <c r="Q41" s="25" t="inlineStr"/>
      <c r="R41" s="25" t="inlineStr"/>
    </row>
    <row r="42" ht="28" customHeight="1">
      <c r="A42" s="21" t="n">
        <v>40</v>
      </c>
      <c r="B42" s="22" t="inlineStr"/>
      <c r="C42" s="22" t="inlineStr">
        <is>
          <t>🟥 Phase 1: Foundation</t>
        </is>
      </c>
      <c r="D42" s="22" t="inlineStr">
        <is>
          <t>Week 6</t>
        </is>
      </c>
      <c r="E42" s="23" t="inlineStr">
        <is>
          <t>SQL: DDL/DML/DCL/TCL — COMMIT, ROLLBACK, TRUNCATE</t>
        </is>
      </c>
      <c r="F42" s="23" t="inlineStr">
        <is>
          <t>Biology — Photoperiodism (Garner &amp; Allard)</t>
        </is>
      </c>
      <c r="G42" s="23" t="inlineStr">
        <is>
          <t>COMMIT=permanent; ROLLBACK=undo; TRUNCATE can't be rolled back</t>
        </is>
      </c>
      <c r="H42" s="24" t="inlineStr"/>
      <c r="I42" s="25" t="inlineStr"/>
      <c r="J42" s="25" t="inlineStr"/>
      <c r="K42" s="25" t="inlineStr"/>
      <c r="L42" s="25" t="inlineStr"/>
      <c r="M42" s="26">
        <f>IF(H42="✅",100,IF(H42="🔄",50,0))</f>
        <v/>
      </c>
      <c r="N42" s="25" t="inlineStr"/>
      <c r="O42" s="25" t="inlineStr"/>
      <c r="P42" s="25" t="inlineStr"/>
      <c r="Q42" s="25" t="inlineStr"/>
      <c r="R42" s="25" t="inlineStr"/>
    </row>
    <row r="43" ht="28" customHeight="1">
      <c r="A43" s="21" t="n">
        <v>41</v>
      </c>
      <c r="B43" s="22" t="inlineStr"/>
      <c r="C43" s="22" t="inlineStr">
        <is>
          <t>🟥 Phase 1: Foundation</t>
        </is>
      </c>
      <c r="D43" s="22" t="inlineStr">
        <is>
          <t>Week 6</t>
        </is>
      </c>
      <c r="E43" s="23" t="inlineStr">
        <is>
          <t>SQL SELECT: ORDER BY(ASC), HAVING, GROUP BY, Aggregates</t>
        </is>
      </c>
      <c r="F43" s="23" t="inlineStr">
        <is>
          <t>Biology — Immunity, Lymphocytes</t>
        </is>
      </c>
      <c r="G43" s="23" t="inlineStr">
        <is>
          <t>ORDER BY default=ASC; HAVING=for groups; COMPUTE=NOT valid aggregate</t>
        </is>
      </c>
      <c r="H43" s="24" t="inlineStr"/>
      <c r="I43" s="25" t="inlineStr"/>
      <c r="J43" s="25" t="inlineStr"/>
      <c r="K43" s="25" t="inlineStr"/>
      <c r="L43" s="25" t="inlineStr"/>
      <c r="M43" s="26">
        <f>IF(H43="✅",100,IF(H43="🔄",50,0))</f>
        <v/>
      </c>
      <c r="N43" s="25" t="inlineStr"/>
      <c r="O43" s="25" t="inlineStr"/>
      <c r="P43" s="25" t="inlineStr"/>
      <c r="Q43" s="25" t="inlineStr"/>
      <c r="R43" s="25" t="inlineStr"/>
    </row>
    <row r="44" ht="28" customHeight="1">
      <c r="A44" s="27" t="n">
        <v>42</v>
      </c>
      <c r="B44" s="28" t="inlineStr"/>
      <c r="C44" s="28" t="inlineStr">
        <is>
          <t>🟥 Phase 1: Foundation</t>
        </is>
      </c>
      <c r="D44" s="28" t="inlineStr">
        <is>
          <t>Week 6</t>
        </is>
      </c>
      <c r="E44" s="29" t="inlineStr">
        <is>
          <t>REVISION: DBMS Full Review + 25 PYQ MCQs</t>
        </is>
      </c>
      <c r="F44" s="29" t="inlineStr">
        <is>
          <t>Revise History topics</t>
        </is>
      </c>
      <c r="G44" s="29" t="inlineStr">
        <is>
          <t>REVISION DAY</t>
        </is>
      </c>
      <c r="H44" s="30" t="inlineStr"/>
      <c r="I44" s="25" t="inlineStr"/>
      <c r="J44" s="25" t="inlineStr"/>
      <c r="K44" s="25" t="inlineStr"/>
      <c r="L44" s="25" t="inlineStr"/>
      <c r="M44" s="26">
        <f>IF(H44="✅",100,IF(H44="🔄",50,0))</f>
        <v/>
      </c>
      <c r="N44" s="25" t="inlineStr"/>
      <c r="O44" s="25" t="inlineStr"/>
      <c r="P44" s="25" t="inlineStr"/>
      <c r="Q44" s="25" t="inlineStr"/>
      <c r="R44" s="25" t="inlineStr"/>
    </row>
    <row r="45" ht="28" customHeight="1">
      <c r="A45" s="21" t="n">
        <v>43</v>
      </c>
      <c r="B45" s="22" t="inlineStr"/>
      <c r="C45" s="22" t="inlineStr">
        <is>
          <t>🟥 Phase 1: Foundation</t>
        </is>
      </c>
      <c r="D45" s="22" t="inlineStr">
        <is>
          <t>Week 7</t>
        </is>
      </c>
      <c r="E45" s="23" t="inlineStr">
        <is>
          <t>OSI Model: 7 Layers, Functions, PDUs</t>
        </is>
      </c>
      <c r="F45" s="23" t="inlineStr">
        <is>
          <t>Polity — Parliament Structure</t>
        </is>
      </c>
      <c r="G45" s="23" t="inlineStr">
        <is>
          <t>Physical=Bits; Transport=Segments; Network=Packets; DataLink=Frames</t>
        </is>
      </c>
      <c r="H45" s="24" t="inlineStr"/>
      <c r="I45" s="25" t="inlineStr"/>
      <c r="J45" s="25" t="inlineStr"/>
      <c r="K45" s="25" t="inlineStr"/>
      <c r="L45" s="25" t="inlineStr"/>
      <c r="M45" s="26">
        <f>IF(H45="✅",100,IF(H45="🔄",50,0))</f>
        <v/>
      </c>
      <c r="N45" s="25" t="inlineStr"/>
      <c r="O45" s="25" t="inlineStr"/>
      <c r="P45" s="25" t="inlineStr"/>
      <c r="Q45" s="25" t="inlineStr"/>
      <c r="R45" s="25" t="inlineStr"/>
    </row>
    <row r="46" ht="28" customHeight="1">
      <c r="A46" s="21" t="n">
        <v>44</v>
      </c>
      <c r="B46" s="22" t="inlineStr"/>
      <c r="C46" s="22" t="inlineStr">
        <is>
          <t>🟥 Phase 1: Foundation</t>
        </is>
      </c>
      <c r="D46" s="22" t="inlineStr">
        <is>
          <t>Week 7</t>
        </is>
      </c>
      <c r="E46" s="23" t="inlineStr">
        <is>
          <t>TCP/IP Model: 4 Layers, Host-to-Host=Transport, LLC/MAC</t>
        </is>
      </c>
      <c r="F46" s="23" t="inlineStr">
        <is>
          <t>Economics — GDP Basics</t>
        </is>
      </c>
      <c r="G46" s="23" t="inlineStr">
        <is>
          <t>TCP/IP Host-to-Host = OSI Transport layer; LLC=upper, MAC=lower</t>
        </is>
      </c>
      <c r="H46" s="24" t="inlineStr"/>
      <c r="I46" s="25" t="inlineStr"/>
      <c r="J46" s="25" t="inlineStr"/>
      <c r="K46" s="25" t="inlineStr"/>
      <c r="L46" s="25" t="inlineStr"/>
      <c r="M46" s="26">
        <f>IF(H46="✅",100,IF(H46="🔄",50,0))</f>
        <v/>
      </c>
      <c r="N46" s="25" t="inlineStr"/>
      <c r="O46" s="25" t="inlineStr"/>
      <c r="P46" s="25" t="inlineStr"/>
      <c r="Q46" s="25" t="inlineStr"/>
      <c r="R46" s="25" t="inlineStr"/>
    </row>
    <row r="47" ht="28" customHeight="1">
      <c r="A47" s="21" t="n">
        <v>45</v>
      </c>
      <c r="B47" s="22" t="inlineStr"/>
      <c r="C47" s="22" t="inlineStr">
        <is>
          <t>🟥 Phase 1: Foundation</t>
        </is>
      </c>
      <c r="D47" s="22" t="inlineStr">
        <is>
          <t>Week 7</t>
        </is>
      </c>
      <c r="E47" s="23" t="inlineStr">
        <is>
          <t>IP Addressing: IPv4=32bit, IPv6=128bit, Subnetting</t>
        </is>
      </c>
      <c r="F47" s="23" t="inlineStr">
        <is>
          <t>Science &amp; Technology — AI/ML overview</t>
        </is>
      </c>
      <c r="G47" s="23" t="inlineStr">
        <is>
          <t>IPv4=32 bits; IPv6=128 bits (NOT 32/64/256). Flow label=CONSIDERED</t>
        </is>
      </c>
      <c r="H47" s="24" t="inlineStr"/>
      <c r="I47" s="25" t="inlineStr"/>
      <c r="J47" s="25" t="inlineStr"/>
      <c r="K47" s="25" t="inlineStr"/>
      <c r="L47" s="25" t="inlineStr"/>
      <c r="M47" s="26">
        <f>IF(H47="✅",100,IF(H47="🔄",50,0))</f>
        <v/>
      </c>
      <c r="N47" s="25" t="inlineStr"/>
      <c r="O47" s="25" t="inlineStr"/>
      <c r="P47" s="25" t="inlineStr"/>
      <c r="Q47" s="25" t="inlineStr"/>
      <c r="R47" s="25" t="inlineStr"/>
    </row>
    <row r="48" ht="28" customHeight="1">
      <c r="A48" s="21" t="n">
        <v>46</v>
      </c>
      <c r="B48" s="22" t="inlineStr"/>
      <c r="C48" s="22" t="inlineStr">
        <is>
          <t>🟥 Phase 1: Foundation</t>
        </is>
      </c>
      <c r="D48" s="22" t="inlineStr">
        <is>
          <t>Week 7</t>
        </is>
      </c>
      <c r="E48" s="23" t="inlineStr">
        <is>
          <t>Protocols: TCP, UDP, SMTP Client, HTTP, MQTT (IoT)</t>
        </is>
      </c>
      <c r="F48" s="23" t="inlineStr">
        <is>
          <t>Current Affairs — New Govt Schemes</t>
        </is>
      </c>
      <c r="G48" s="23" t="inlineStr">
        <is>
          <t>SMTP client = sending mail server. MQTT = IoT protocol</t>
        </is>
      </c>
      <c r="H48" s="24" t="inlineStr"/>
      <c r="I48" s="25" t="inlineStr"/>
      <c r="J48" s="25" t="inlineStr"/>
      <c r="K48" s="25" t="inlineStr"/>
      <c r="L48" s="25" t="inlineStr"/>
      <c r="M48" s="26">
        <f>IF(H48="✅",100,IF(H48="🔄",50,0))</f>
        <v/>
      </c>
      <c r="N48" s="25" t="inlineStr"/>
      <c r="O48" s="25" t="inlineStr"/>
      <c r="P48" s="25" t="inlineStr"/>
      <c r="Q48" s="25" t="inlineStr"/>
      <c r="R48" s="25" t="inlineStr"/>
    </row>
    <row r="49" ht="28" customHeight="1">
      <c r="A49" s="21" t="n">
        <v>47</v>
      </c>
      <c r="B49" s="22" t="inlineStr"/>
      <c r="C49" s="22" t="inlineStr">
        <is>
          <t>🟥 Phase 1: Foundation</t>
        </is>
      </c>
      <c r="D49" s="22" t="inlineStr">
        <is>
          <t>Week 7</t>
        </is>
      </c>
      <c r="E49" s="23" t="inlineStr">
        <is>
          <t>Topologies: Star/Bus/Ring/Mesh; P2P NOT a topology</t>
        </is>
      </c>
      <c r="F49" s="23" t="inlineStr">
        <is>
          <t>Bihar GK — Famous Personalities</t>
        </is>
      </c>
      <c r="G49" s="23" t="inlineStr">
        <is>
          <t>Peer-to-peer = network TYPE not topology. Star needs hub/switch</t>
        </is>
      </c>
      <c r="H49" s="24" t="inlineStr"/>
      <c r="I49" s="25" t="inlineStr"/>
      <c r="J49" s="25" t="inlineStr"/>
      <c r="K49" s="25" t="inlineStr"/>
      <c r="L49" s="25" t="inlineStr"/>
      <c r="M49" s="26">
        <f>IF(H49="✅",100,IF(H49="🔄",50,0))</f>
        <v/>
      </c>
      <c r="N49" s="25" t="inlineStr"/>
      <c r="O49" s="25" t="inlineStr"/>
      <c r="P49" s="25" t="inlineStr"/>
      <c r="Q49" s="25" t="inlineStr"/>
      <c r="R49" s="25" t="inlineStr"/>
    </row>
    <row r="50" ht="28" customHeight="1">
      <c r="A50" s="21" t="n">
        <v>48</v>
      </c>
      <c r="B50" s="22" t="inlineStr"/>
      <c r="C50" s="22" t="inlineStr">
        <is>
          <t>🟥 Phase 1: Foundation</t>
        </is>
      </c>
      <c r="D50" s="22" t="inlineStr">
        <is>
          <t>Week 7</t>
        </is>
      </c>
      <c r="E50" s="23" t="inlineStr">
        <is>
          <t>Transmission Media: Optical Fiber (fastest), UTP, Security</t>
        </is>
      </c>
      <c r="F50" s="23" t="inlineStr">
        <is>
          <t>Bihar GK — Silk, Paddy Districts</t>
        </is>
      </c>
      <c r="G50" s="23" t="inlineStr">
        <is>
          <t>Optical fiber = highest speed + immune to EM interference</t>
        </is>
      </c>
      <c r="H50" s="24" t="inlineStr"/>
      <c r="I50" s="25" t="inlineStr"/>
      <c r="J50" s="25" t="inlineStr"/>
      <c r="K50" s="25" t="inlineStr"/>
      <c r="L50" s="25" t="inlineStr"/>
      <c r="M50" s="26">
        <f>IF(H50="✅",100,IF(H50="🔄",50,0))</f>
        <v/>
      </c>
      <c r="N50" s="25" t="inlineStr"/>
      <c r="O50" s="25" t="inlineStr"/>
      <c r="P50" s="25" t="inlineStr"/>
      <c r="Q50" s="25" t="inlineStr"/>
      <c r="R50" s="25" t="inlineStr"/>
    </row>
    <row r="51" ht="28" customHeight="1">
      <c r="A51" s="27" t="n">
        <v>49</v>
      </c>
      <c r="B51" s="28" t="inlineStr"/>
      <c r="C51" s="28" t="inlineStr">
        <is>
          <t>🟥 Phase 1: Foundation</t>
        </is>
      </c>
      <c r="D51" s="28" t="inlineStr">
        <is>
          <t>Week 7</t>
        </is>
      </c>
      <c r="E51" s="29" t="inlineStr">
        <is>
          <t>REVISION: Computer Networks Full Review + 25 PYQs</t>
        </is>
      </c>
      <c r="F51" s="29" t="inlineStr">
        <is>
          <t>Revise Geography, Current Affairs</t>
        </is>
      </c>
      <c r="G51" s="29" t="inlineStr">
        <is>
          <t>REVISION DAY</t>
        </is>
      </c>
      <c r="H51" s="30" t="inlineStr"/>
      <c r="I51" s="25" t="inlineStr"/>
      <c r="J51" s="25" t="inlineStr"/>
      <c r="K51" s="25" t="inlineStr"/>
      <c r="L51" s="25" t="inlineStr"/>
      <c r="M51" s="26">
        <f>IF(H51="✅",100,IF(H51="🔄",50,0))</f>
        <v/>
      </c>
      <c r="N51" s="25" t="inlineStr"/>
      <c r="O51" s="25" t="inlineStr"/>
      <c r="P51" s="25" t="inlineStr"/>
      <c r="Q51" s="25" t="inlineStr"/>
      <c r="R51" s="25" t="inlineStr"/>
    </row>
    <row r="52" ht="28" customHeight="1">
      <c r="A52" s="31" t="n">
        <v>50</v>
      </c>
      <c r="B52" s="32" t="inlineStr"/>
      <c r="C52" s="32" t="inlineStr">
        <is>
          <t>🟥 Phase 1: Foundation</t>
        </is>
      </c>
      <c r="D52" s="32" t="inlineStr">
        <is>
          <t>Week 8</t>
        </is>
      </c>
      <c r="E52" s="33" t="inlineStr">
        <is>
          <t>TRE 1.0 FULL PYQ PAPER — CS Section (80 Questions)</t>
        </is>
      </c>
      <c r="F52" s="33" t="inlineStr">
        <is>
          <t>—</t>
        </is>
      </c>
      <c r="G52" s="33" t="inlineStr">
        <is>
          <t>EXAM SIMULATION — 1hr 40min</t>
        </is>
      </c>
      <c r="H52" s="34" t="inlineStr"/>
      <c r="I52" s="25" t="inlineStr"/>
      <c r="J52" s="25" t="inlineStr"/>
      <c r="K52" s="25" t="inlineStr"/>
      <c r="L52" s="25" t="inlineStr"/>
      <c r="M52" s="26">
        <f>IF(H52="✅",100,IF(H52="🔄",50,0))</f>
        <v/>
      </c>
      <c r="N52" s="25" t="inlineStr"/>
      <c r="O52" s="25" t="inlineStr"/>
      <c r="P52" s="25" t="inlineStr"/>
      <c r="Q52" s="25" t="inlineStr"/>
      <c r="R52" s="25" t="inlineStr"/>
    </row>
    <row r="53" ht="28" customHeight="1">
      <c r="A53" s="21" t="n">
        <v>51</v>
      </c>
      <c r="B53" s="22" t="inlineStr"/>
      <c r="C53" s="22" t="inlineStr">
        <is>
          <t>🟥 Phase 1: Foundation</t>
        </is>
      </c>
      <c r="D53" s="22" t="inlineStr">
        <is>
          <t>Week 8</t>
        </is>
      </c>
      <c r="E53" s="23" t="inlineStr">
        <is>
          <t>TRE 1.0 Error Analysis + Weak Topic List</t>
        </is>
      </c>
      <c r="F53" s="23" t="inlineStr">
        <is>
          <t>—</t>
        </is>
      </c>
      <c r="G53" s="23" t="inlineStr">
        <is>
          <t>ANALYSIS DAY</t>
        </is>
      </c>
      <c r="H53" s="24" t="inlineStr"/>
      <c r="I53" s="25" t="inlineStr"/>
      <c r="J53" s="25" t="inlineStr"/>
      <c r="K53" s="25" t="inlineStr"/>
      <c r="L53" s="25" t="inlineStr"/>
      <c r="M53" s="26">
        <f>IF(H53="✅",100,IF(H53="🔄",50,0))</f>
        <v/>
      </c>
      <c r="N53" s="25" t="inlineStr"/>
      <c r="O53" s="25" t="inlineStr"/>
      <c r="P53" s="25" t="inlineStr"/>
      <c r="Q53" s="25" t="inlineStr"/>
      <c r="R53" s="25" t="inlineStr"/>
    </row>
    <row r="54" ht="28" customHeight="1">
      <c r="A54" s="21" t="n">
        <v>52</v>
      </c>
      <c r="B54" s="22" t="inlineStr"/>
      <c r="C54" s="22" t="inlineStr">
        <is>
          <t>🟥 Phase 1: Foundation</t>
        </is>
      </c>
      <c r="D54" s="22" t="inlineStr">
        <is>
          <t>Week 8</t>
        </is>
      </c>
      <c r="E54" s="23" t="inlineStr">
        <is>
          <t>Light CS Revision + OOP/DSA shortcuts</t>
        </is>
      </c>
      <c r="F54" s="23" t="inlineStr">
        <is>
          <t>GS Maths: ALL topics — P&amp;L, Ratio, Work, Speed, Mensuration</t>
        </is>
      </c>
      <c r="G54" s="23" t="inlineStr">
        <is>
          <t>MATHS DEEP PRACTICE DAY</t>
        </is>
      </c>
      <c r="H54" s="24" t="inlineStr"/>
      <c r="I54" s="25" t="inlineStr"/>
      <c r="J54" s="25" t="inlineStr"/>
      <c r="K54" s="25" t="inlineStr"/>
      <c r="L54" s="25" t="inlineStr"/>
      <c r="M54" s="26">
        <f>IF(H54="✅",100,IF(H54="🔄",50,0))</f>
        <v/>
      </c>
      <c r="N54" s="25" t="inlineStr"/>
      <c r="O54" s="25" t="inlineStr"/>
      <c r="P54" s="25" t="inlineStr"/>
      <c r="Q54" s="25" t="inlineStr"/>
      <c r="R54" s="25" t="inlineStr"/>
    </row>
    <row r="55" ht="28" customHeight="1">
      <c r="A55" s="21" t="n">
        <v>53</v>
      </c>
      <c r="B55" s="22" t="inlineStr"/>
      <c r="C55" s="22" t="inlineStr">
        <is>
          <t>🟥 Phase 1: Foundation</t>
        </is>
      </c>
      <c r="D55" s="22" t="inlineStr">
        <is>
          <t>Week 8</t>
        </is>
      </c>
      <c r="E55" s="23" t="inlineStr">
        <is>
          <t>Light revision — DBMS shortcuts</t>
        </is>
      </c>
      <c r="F55" s="23" t="inlineStr">
        <is>
          <t>Indian History (Bihar focus): Champaran, Ghadar, INC Sessions</t>
        </is>
      </c>
      <c r="G55" s="23" t="inlineStr">
        <is>
          <t>HISTORY DEEP PRACTICE DAY</t>
        </is>
      </c>
      <c r="H55" s="24" t="inlineStr"/>
      <c r="I55" s="25" t="inlineStr"/>
      <c r="J55" s="25" t="inlineStr"/>
      <c r="K55" s="25" t="inlineStr"/>
      <c r="L55" s="25" t="inlineStr"/>
      <c r="M55" s="26">
        <f>IF(H55="✅",100,IF(H55="🔄",50,0))</f>
        <v/>
      </c>
      <c r="N55" s="25" t="inlineStr"/>
      <c r="O55" s="25" t="inlineStr"/>
      <c r="P55" s="25" t="inlineStr"/>
      <c r="Q55" s="25" t="inlineStr"/>
      <c r="R55" s="25" t="inlineStr"/>
    </row>
    <row r="56" ht="28" customHeight="1">
      <c r="A56" s="21" t="n">
        <v>54</v>
      </c>
      <c r="B56" s="22" t="inlineStr"/>
      <c r="C56" s="22" t="inlineStr">
        <is>
          <t>🟥 Phase 1: Foundation</t>
        </is>
      </c>
      <c r="D56" s="22" t="inlineStr">
        <is>
          <t>Week 8</t>
        </is>
      </c>
      <c r="E56" s="23" t="inlineStr">
        <is>
          <t>Light revision — Networks shortcuts</t>
        </is>
      </c>
      <c r="F56" s="23" t="inlineStr">
        <is>
          <t>Science: Physics (Bernoulli, P=I²R) + Biology (Lymphocytes, Ginger)</t>
        </is>
      </c>
      <c r="G56" s="23" t="inlineStr">
        <is>
          <t>SCIENCE DEEP PRACTICE DAY</t>
        </is>
      </c>
      <c r="H56" s="24" t="inlineStr"/>
      <c r="I56" s="25" t="inlineStr"/>
      <c r="J56" s="25" t="inlineStr"/>
      <c r="K56" s="25" t="inlineStr"/>
      <c r="L56" s="25" t="inlineStr"/>
      <c r="M56" s="26">
        <f>IF(H56="✅",100,IF(H56="🔄",50,0))</f>
        <v/>
      </c>
      <c r="N56" s="25" t="inlineStr"/>
      <c r="O56" s="25" t="inlineStr"/>
      <c r="P56" s="25" t="inlineStr"/>
      <c r="Q56" s="25" t="inlineStr"/>
      <c r="R56" s="25" t="inlineStr"/>
    </row>
    <row r="57" ht="28" customHeight="1">
      <c r="A57" s="21" t="n">
        <v>55</v>
      </c>
      <c r="B57" s="22" t="inlineStr"/>
      <c r="C57" s="22" t="inlineStr">
        <is>
          <t>🟥 Phase 1: Foundation</t>
        </is>
      </c>
      <c r="D57" s="22" t="inlineStr">
        <is>
          <t>Week 8</t>
        </is>
      </c>
      <c r="E57" s="23" t="inlineStr">
        <is>
          <t>Light revision</t>
        </is>
      </c>
      <c r="F57" s="23" t="inlineStr">
        <is>
          <t>Geography: Bihar 8.58%, Rohtas=paddy, Bhagalpur=silk, Mahendragiri</t>
        </is>
      </c>
      <c r="G57" s="23" t="inlineStr">
        <is>
          <t>GEOGRAPHY DEEP PRACTICE DAY</t>
        </is>
      </c>
      <c r="H57" s="24" t="inlineStr"/>
      <c r="I57" s="25" t="inlineStr"/>
      <c r="J57" s="25" t="inlineStr"/>
      <c r="K57" s="25" t="inlineStr"/>
      <c r="L57" s="25" t="inlineStr"/>
      <c r="M57" s="26">
        <f>IF(H57="✅",100,IF(H57="🔄",50,0))</f>
        <v/>
      </c>
      <c r="N57" s="25" t="inlineStr"/>
      <c r="O57" s="25" t="inlineStr"/>
      <c r="P57" s="25" t="inlineStr"/>
      <c r="Q57" s="25" t="inlineStr"/>
      <c r="R57" s="25" t="inlineStr"/>
    </row>
    <row r="58" ht="28" customHeight="1">
      <c r="A58" s="27" t="n">
        <v>56</v>
      </c>
      <c r="B58" s="28" t="inlineStr"/>
      <c r="C58" s="28" t="inlineStr">
        <is>
          <t>🟥 Phase 1: Foundation</t>
        </is>
      </c>
      <c r="D58" s="28" t="inlineStr">
        <is>
          <t>Week 8</t>
        </is>
      </c>
      <c r="E58" s="29" t="inlineStr">
        <is>
          <t>REVISION MEGA DAY: Phase 1 Summary — all topics</t>
        </is>
      </c>
      <c r="F58" s="29" t="inlineStr">
        <is>
          <t>Full GS Revision + identify weak areas</t>
        </is>
      </c>
      <c r="G58" s="29" t="inlineStr">
        <is>
          <t>PHASE 1 COMPLETE</t>
        </is>
      </c>
      <c r="H58" s="30" t="inlineStr"/>
      <c r="I58" s="25" t="inlineStr"/>
      <c r="J58" s="25" t="inlineStr"/>
      <c r="K58" s="25" t="inlineStr"/>
      <c r="L58" s="25" t="inlineStr"/>
      <c r="M58" s="26">
        <f>IF(H58="✅",100,IF(H58="🔄",50,0))</f>
        <v/>
      </c>
      <c r="N58" s="25" t="inlineStr"/>
      <c r="O58" s="25" t="inlineStr"/>
      <c r="P58" s="25" t="inlineStr"/>
      <c r="Q58" s="25" t="inlineStr"/>
      <c r="R58" s="25" t="inlineStr"/>
    </row>
    <row r="59" ht="28" customHeight="1">
      <c r="A59" s="21" t="n">
        <v>57</v>
      </c>
      <c r="B59" s="22" t="inlineStr"/>
      <c r="C59" s="22" t="inlineStr">
        <is>
          <t>🟥 Phase 1: Foundation</t>
        </is>
      </c>
      <c r="D59" s="22" t="inlineStr">
        <is>
          <t>Week 9</t>
        </is>
      </c>
      <c r="E59" s="23" t="inlineStr">
        <is>
          <t>SQL Advanced: Views (Virtual Tables), Joins, Subqueries</t>
        </is>
      </c>
      <c r="F59" s="23" t="inlineStr">
        <is>
          <t>Polity — State Legislature</t>
        </is>
      </c>
      <c r="G59" s="23" t="inlineStr">
        <is>
          <t>ROUND(65.726,-1)=70. Views=virtual tables. SQL hierarchy</t>
        </is>
      </c>
      <c r="H59" s="24" t="inlineStr"/>
      <c r="I59" s="25" t="inlineStr"/>
      <c r="J59" s="25" t="inlineStr"/>
      <c r="K59" s="25" t="inlineStr"/>
      <c r="L59" s="25" t="inlineStr"/>
      <c r="M59" s="26">
        <f>IF(H59="✅",100,IF(H59="🔄",50,0))</f>
        <v/>
      </c>
      <c r="N59" s="25" t="inlineStr"/>
      <c r="O59" s="25" t="inlineStr"/>
      <c r="P59" s="25" t="inlineStr"/>
      <c r="Q59" s="25" t="inlineStr"/>
      <c r="R59" s="25" t="inlineStr"/>
    </row>
    <row r="60" ht="28" customHeight="1">
      <c r="A60" s="21" t="n">
        <v>58</v>
      </c>
      <c r="B60" s="22" t="inlineStr"/>
      <c r="C60" s="22" t="inlineStr">
        <is>
          <t>🟥 Phase 1: Foundation</t>
        </is>
      </c>
      <c r="D60" s="22" t="inlineStr">
        <is>
          <t>Week 9</t>
        </is>
      </c>
      <c r="E60" s="23" t="inlineStr">
        <is>
          <t>SQL Transactions: ACID, COMMIT/ROLLBACK, DELETE vs TRUNCATE</t>
        </is>
      </c>
      <c r="F60" s="23" t="inlineStr">
        <is>
          <t>Current Affairs — Space Technology</t>
        </is>
      </c>
      <c r="G60" s="23" t="inlineStr">
        <is>
          <t>ACID = Atomicity, Consistency, Isolation, Durability</t>
        </is>
      </c>
      <c r="H60" s="24" t="inlineStr"/>
      <c r="I60" s="25" t="inlineStr"/>
      <c r="J60" s="25" t="inlineStr"/>
      <c r="K60" s="25" t="inlineStr"/>
      <c r="L60" s="25" t="inlineStr"/>
      <c r="M60" s="26">
        <f>IF(H60="✅",100,IF(H60="🔄",50,0))</f>
        <v/>
      </c>
      <c r="N60" s="25" t="inlineStr"/>
      <c r="O60" s="25" t="inlineStr"/>
      <c r="P60" s="25" t="inlineStr"/>
      <c r="Q60" s="25" t="inlineStr"/>
      <c r="R60" s="25" t="inlineStr"/>
    </row>
    <row r="61" ht="28" customHeight="1">
      <c r="A61" s="21" t="n">
        <v>59</v>
      </c>
      <c r="B61" s="22" t="inlineStr"/>
      <c r="C61" s="22" t="inlineStr">
        <is>
          <t>🟥 Phase 1: Foundation</t>
        </is>
      </c>
      <c r="D61" s="22" t="inlineStr">
        <is>
          <t>Week 9</t>
        </is>
      </c>
      <c r="E61" s="23" t="inlineStr">
        <is>
          <t>Networks: Subnetting, TDM (slots=frames), Memory-mapped I/O</t>
        </is>
      </c>
      <c r="F61" s="23" t="inlineStr">
        <is>
          <t>History — Salt Satyagraha</t>
        </is>
      </c>
      <c r="G61" s="23" t="inlineStr">
        <is>
          <t>TDM=frames. Memory-mapped I/O=shared address space</t>
        </is>
      </c>
      <c r="H61" s="24" t="inlineStr"/>
      <c r="I61" s="25" t="inlineStr"/>
      <c r="J61" s="25" t="inlineStr"/>
      <c r="K61" s="25" t="inlineStr"/>
      <c r="L61" s="25" t="inlineStr"/>
      <c r="M61" s="26">
        <f>IF(H61="✅",100,IF(H61="🔄",50,0))</f>
        <v/>
      </c>
      <c r="N61" s="25" t="inlineStr"/>
      <c r="O61" s="25" t="inlineStr"/>
      <c r="P61" s="25" t="inlineStr"/>
      <c r="Q61" s="25" t="inlineStr"/>
      <c r="R61" s="25" t="inlineStr"/>
    </row>
    <row r="62" ht="28" customHeight="1">
      <c r="A62" s="35" t="n">
        <v>60</v>
      </c>
      <c r="B62" s="36" t="inlineStr"/>
      <c r="C62" s="36" t="inlineStr">
        <is>
          <t>🟥 Phase 1: Foundation</t>
        </is>
      </c>
      <c r="D62" s="36" t="inlineStr">
        <is>
          <t>Week 9</t>
        </is>
      </c>
      <c r="E62" s="37" t="inlineStr">
        <is>
          <t>PHASE 1 FINAL + Mock Test 1 (Full 150-question paper)</t>
        </is>
      </c>
      <c r="F62" s="37" t="inlineStr">
        <is>
          <t>—</t>
        </is>
      </c>
      <c r="G62" s="37" t="inlineStr">
        <is>
          <t>MOCK TEST 1 — PHASE 1 COMPLETE</t>
        </is>
      </c>
      <c r="H62" s="38" t="inlineStr"/>
      <c r="I62" s="25" t="inlineStr"/>
      <c r="J62" s="25" t="inlineStr"/>
      <c r="K62" s="25" t="inlineStr"/>
      <c r="L62" s="25" t="inlineStr"/>
      <c r="M62" s="26">
        <f>IF(H62="✅",100,IF(H62="🔄",50,0))</f>
        <v/>
      </c>
      <c r="N62" s="25" t="inlineStr"/>
      <c r="O62" s="25" t="inlineStr"/>
      <c r="P62" s="25" t="inlineStr"/>
      <c r="Q62" s="25" t="inlineStr"/>
      <c r="R62" s="25" t="inlineStr"/>
    </row>
    <row r="63" ht="28" customHeight="1">
      <c r="A63" s="39" t="n">
        <v>61</v>
      </c>
      <c r="B63" s="40" t="inlineStr"/>
      <c r="C63" s="40" t="inlineStr">
        <is>
          <t>🟨 Phase 2: Depth Building</t>
        </is>
      </c>
      <c r="D63" s="40" t="inlineStr">
        <is>
          <t>Week 10</t>
        </is>
      </c>
      <c r="E63" s="41" t="inlineStr">
        <is>
          <t>Logic Gates: AND/OR/NOT/XOR/XNOR — Truth Tables</t>
        </is>
      </c>
      <c r="F63" s="41" t="inlineStr">
        <is>
          <t>Polity — Fundamental Duties</t>
        </is>
      </c>
      <c r="G63" s="41" t="inlineStr">
        <is>
          <t>XNOR=HIGH for SAME inputs; XOR=HIGH for DIFFERENT inputs. Rows=2^n</t>
        </is>
      </c>
      <c r="H63" s="42" t="inlineStr"/>
      <c r="I63" s="25" t="inlineStr"/>
      <c r="J63" s="25" t="inlineStr"/>
      <c r="K63" s="25" t="inlineStr"/>
      <c r="L63" s="25" t="inlineStr"/>
      <c r="M63" s="26">
        <f>IF(H63="✅",100,IF(H63="🔄",50,0))</f>
        <v/>
      </c>
      <c r="N63" s="25" t="inlineStr"/>
      <c r="O63" s="25" t="inlineStr"/>
      <c r="P63" s="25" t="inlineStr"/>
      <c r="Q63" s="25" t="inlineStr"/>
      <c r="R63" s="25" t="inlineStr"/>
    </row>
    <row r="64" ht="28" customHeight="1">
      <c r="A64" s="39" t="n">
        <v>62</v>
      </c>
      <c r="B64" s="40" t="inlineStr"/>
      <c r="C64" s="40" t="inlineStr">
        <is>
          <t>🟨 Phase 2: Depth Building</t>
        </is>
      </c>
      <c r="D64" s="40" t="inlineStr">
        <is>
          <t>Week 10</t>
        </is>
      </c>
      <c r="E64" s="41" t="inlineStr">
        <is>
          <t>Universal Gates: NAND &amp; NOR — Implementations</t>
        </is>
      </c>
      <c r="F64" s="41" t="inlineStr">
        <is>
          <t>Economics — Inflation, GDP</t>
        </is>
      </c>
      <c r="G64" s="41" t="inlineStr">
        <is>
          <t>NAND and NOR are BOTH universal gates. Half adder=Sum+Carry</t>
        </is>
      </c>
      <c r="H64" s="42" t="inlineStr"/>
      <c r="I64" s="25" t="inlineStr"/>
      <c r="J64" s="25" t="inlineStr"/>
      <c r="K64" s="25" t="inlineStr"/>
      <c r="L64" s="25" t="inlineStr"/>
      <c r="M64" s="26">
        <f>IF(H64="✅",100,IF(H64="🔄",50,0))</f>
        <v/>
      </c>
      <c r="N64" s="25" t="inlineStr"/>
      <c r="O64" s="25" t="inlineStr"/>
      <c r="P64" s="25" t="inlineStr"/>
      <c r="Q64" s="25" t="inlineStr"/>
      <c r="R64" s="25" t="inlineStr"/>
    </row>
    <row r="65" ht="28" customHeight="1">
      <c r="A65" s="39" t="n">
        <v>63</v>
      </c>
      <c r="B65" s="40" t="inlineStr"/>
      <c r="C65" s="40" t="inlineStr">
        <is>
          <t>🟨 Phase 2: Depth Building</t>
        </is>
      </c>
      <c r="D65" s="40" t="inlineStr">
        <is>
          <t>Week 10</t>
        </is>
      </c>
      <c r="E65" s="41" t="inlineStr">
        <is>
          <t>Boolean Algebra: De Morgan's Theorem, SOM/POM Canonical Forms</t>
        </is>
      </c>
      <c r="F65" s="41" t="inlineStr">
        <is>
          <t>Agriculture — Green Revolution</t>
        </is>
      </c>
      <c r="G65" s="41" t="inlineStr">
        <is>
          <t>De Morgan's: (A+B)'=A'B'. Canonical=SOM and POM. Bool apps=ALL THREE(D)</t>
        </is>
      </c>
      <c r="H65" s="42" t="inlineStr"/>
      <c r="I65" s="25" t="inlineStr"/>
      <c r="J65" s="25" t="inlineStr"/>
      <c r="K65" s="25" t="inlineStr"/>
      <c r="L65" s="25" t="inlineStr"/>
      <c r="M65" s="26">
        <f>IF(H65="✅",100,IF(H65="🔄",50,0))</f>
        <v/>
      </c>
      <c r="N65" s="25" t="inlineStr"/>
      <c r="O65" s="25" t="inlineStr"/>
      <c r="P65" s="25" t="inlineStr"/>
      <c r="Q65" s="25" t="inlineStr"/>
      <c r="R65" s="25" t="inlineStr"/>
    </row>
    <row r="66" ht="28" customHeight="1">
      <c r="A66" s="39" t="n">
        <v>64</v>
      </c>
      <c r="B66" s="40" t="inlineStr"/>
      <c r="C66" s="40" t="inlineStr">
        <is>
          <t>🟨 Phase 2: Depth Building</t>
        </is>
      </c>
      <c r="D66" s="40" t="inlineStr">
        <is>
          <t>Week 10</t>
        </is>
      </c>
      <c r="E66" s="41" t="inlineStr">
        <is>
          <t>K-Map Simplification: 3-var &amp; 4-var, Groups=powers of 2</t>
        </is>
      </c>
      <c r="F66" s="41" t="inlineStr">
        <is>
          <t>Industries — Bihar Industries</t>
        </is>
      </c>
      <c r="G66" s="41" t="inlineStr">
        <is>
          <t>K-Map groups must be powers of 2; can wrap around edges</t>
        </is>
      </c>
      <c r="H66" s="42" t="inlineStr"/>
      <c r="I66" s="25" t="inlineStr"/>
      <c r="J66" s="25" t="inlineStr"/>
      <c r="K66" s="25" t="inlineStr"/>
      <c r="L66" s="25" t="inlineStr"/>
      <c r="M66" s="26">
        <f>IF(H66="✅",100,IF(H66="🔄",50,0))</f>
        <v/>
      </c>
      <c r="N66" s="25" t="inlineStr"/>
      <c r="O66" s="25" t="inlineStr"/>
      <c r="P66" s="25" t="inlineStr"/>
      <c r="Q66" s="25" t="inlineStr"/>
      <c r="R66" s="25" t="inlineStr"/>
    </row>
    <row r="67" ht="28" customHeight="1">
      <c r="A67" s="39" t="n">
        <v>65</v>
      </c>
      <c r="B67" s="40" t="inlineStr"/>
      <c r="C67" s="40" t="inlineStr">
        <is>
          <t>🟨 Phase 2: Depth Building</t>
        </is>
      </c>
      <c r="D67" s="40" t="inlineStr">
        <is>
          <t>Week 10</t>
        </is>
      </c>
      <c r="E67" s="41" t="inlineStr">
        <is>
          <t>Number Systems: Dec1234→Hex=4D2; BCD max=9; Booth's algorithm</t>
        </is>
      </c>
      <c r="F67" s="41" t="inlineStr">
        <is>
          <t>History — INC Sessions, Viceroy facts</t>
        </is>
      </c>
      <c r="G67" s="41" t="inlineStr">
        <is>
          <t>Decimal 1234→Hex 4D2; Binary 1011.1101=11.8125; BCD max=9(NOT 15)</t>
        </is>
      </c>
      <c r="H67" s="42" t="inlineStr"/>
      <c r="I67" s="25" t="inlineStr"/>
      <c r="J67" s="25" t="inlineStr"/>
      <c r="K67" s="25" t="inlineStr"/>
      <c r="L67" s="25" t="inlineStr"/>
      <c r="M67" s="26">
        <f>IF(H67="✅",100,IF(H67="🔄",50,0))</f>
        <v/>
      </c>
      <c r="N67" s="25" t="inlineStr"/>
      <c r="O67" s="25" t="inlineStr"/>
      <c r="P67" s="25" t="inlineStr"/>
      <c r="Q67" s="25" t="inlineStr"/>
      <c r="R67" s="25" t="inlineStr"/>
    </row>
    <row r="68" ht="28" customHeight="1">
      <c r="A68" s="39" t="n">
        <v>66</v>
      </c>
      <c r="B68" s="40" t="inlineStr"/>
      <c r="C68" s="40" t="inlineStr">
        <is>
          <t>🟨 Phase 2: Depth Building</t>
        </is>
      </c>
      <c r="D68" s="40" t="inlineStr">
        <is>
          <t>Week 10</t>
        </is>
      </c>
      <c r="E68" s="41" t="inlineStr">
        <is>
          <t>Flip-Flops (SR/JK/D/T), MUX 8:1=3 lines, PLA, ROM Types</t>
        </is>
      </c>
      <c r="F68" s="41" t="inlineStr">
        <is>
          <t>Science — Green Hydrogen=Electrolysis</t>
        </is>
      </c>
      <c r="G68" s="41" t="inlineStr">
        <is>
          <t>8:1 MUX=3 select lines. PLA=Programmable Logic Array</t>
        </is>
      </c>
      <c r="H68" s="42" t="inlineStr"/>
      <c r="I68" s="25" t="inlineStr"/>
      <c r="J68" s="25" t="inlineStr"/>
      <c r="K68" s="25" t="inlineStr"/>
      <c r="L68" s="25" t="inlineStr"/>
      <c r="M68" s="26">
        <f>IF(H68="✅",100,IF(H68="🔄",50,0))</f>
        <v/>
      </c>
      <c r="N68" s="25" t="inlineStr"/>
      <c r="O68" s="25" t="inlineStr"/>
      <c r="P68" s="25" t="inlineStr"/>
      <c r="Q68" s="25" t="inlineStr"/>
      <c r="R68" s="25" t="inlineStr"/>
    </row>
    <row r="69" ht="28" customHeight="1">
      <c r="A69" s="27" t="n">
        <v>67</v>
      </c>
      <c r="B69" s="28" t="inlineStr"/>
      <c r="C69" s="28" t="inlineStr">
        <is>
          <t>🟨 Phase 2: Depth Building</t>
        </is>
      </c>
      <c r="D69" s="28" t="inlineStr">
        <is>
          <t>Week 10</t>
        </is>
      </c>
      <c r="E69" s="29" t="inlineStr">
        <is>
          <t>REVISION: Digital Electronics + 25 PYQ MCQs</t>
        </is>
      </c>
      <c r="F69" s="29" t="inlineStr">
        <is>
          <t>Science &amp; Technology Revision</t>
        </is>
      </c>
      <c r="G69" s="29" t="inlineStr">
        <is>
          <t>REVISION DAY</t>
        </is>
      </c>
      <c r="H69" s="30" t="inlineStr"/>
      <c r="I69" s="25" t="inlineStr"/>
      <c r="J69" s="25" t="inlineStr"/>
      <c r="K69" s="25" t="inlineStr"/>
      <c r="L69" s="25" t="inlineStr"/>
      <c r="M69" s="26">
        <f>IF(H69="✅",100,IF(H69="🔄",50,0))</f>
        <v/>
      </c>
      <c r="N69" s="25" t="inlineStr"/>
      <c r="O69" s="25" t="inlineStr"/>
      <c r="P69" s="25" t="inlineStr"/>
      <c r="Q69" s="25" t="inlineStr"/>
      <c r="R69" s="25" t="inlineStr"/>
    </row>
    <row r="70" ht="28" customHeight="1">
      <c r="A70" s="39" t="n">
        <v>68</v>
      </c>
      <c r="B70" s="40" t="inlineStr"/>
      <c r="C70" s="40" t="inlineStr">
        <is>
          <t>🟨 Phase 2: Depth Building</t>
        </is>
      </c>
      <c r="D70" s="40" t="inlineStr">
        <is>
          <t>Week 11</t>
        </is>
      </c>
      <c r="E70" s="41" t="inlineStr">
        <is>
          <t>OS Types, Processes, Interrupts (HW/SW/Trap, NOT 'Memory')</t>
        </is>
      </c>
      <c r="F70" s="41" t="inlineStr">
        <is>
          <t>Current Affairs — India Policy</t>
        </is>
      </c>
      <c r="G70" s="41" t="inlineStr">
        <is>
          <t>Time-sharing=beginning of computer communications</t>
        </is>
      </c>
      <c r="H70" s="42" t="inlineStr"/>
      <c r="I70" s="25" t="inlineStr"/>
      <c r="J70" s="25" t="inlineStr"/>
      <c r="K70" s="25" t="inlineStr"/>
      <c r="L70" s="25" t="inlineStr"/>
      <c r="M70" s="26">
        <f>IF(H70="✅",100,IF(H70="🔄",50,0))</f>
        <v/>
      </c>
      <c r="N70" s="25" t="inlineStr"/>
      <c r="O70" s="25" t="inlineStr"/>
      <c r="P70" s="25" t="inlineStr"/>
      <c r="Q70" s="25" t="inlineStr"/>
      <c r="R70" s="25" t="inlineStr"/>
    </row>
    <row r="71" ht="28" customHeight="1">
      <c r="A71" s="39" t="n">
        <v>69</v>
      </c>
      <c r="B71" s="40" t="inlineStr"/>
      <c r="C71" s="40" t="inlineStr">
        <is>
          <t>🟨 Phase 2: Depth Building</t>
        </is>
      </c>
      <c r="D71" s="40" t="inlineStr">
        <is>
          <t>Week 11</t>
        </is>
      </c>
      <c r="E71" s="41" t="inlineStr">
        <is>
          <t>Paging: Pages/Frames, TLB=Associative Cache, 4KB=12-bit offset</t>
        </is>
      </c>
      <c r="F71" s="41" t="inlineStr">
        <is>
          <t>History — Champaran In Depth</t>
        </is>
      </c>
      <c r="G71" s="41" t="inlineStr">
        <is>
          <t>4KB page → 12-bit offset. TLB = associative cache (NOT hash table)</t>
        </is>
      </c>
      <c r="H71" s="42" t="inlineStr"/>
      <c r="I71" s="25" t="inlineStr"/>
      <c r="J71" s="25" t="inlineStr"/>
      <c r="K71" s="25" t="inlineStr"/>
      <c r="L71" s="25" t="inlineStr"/>
      <c r="M71" s="26">
        <f>IF(H71="✅",100,IF(H71="🔄",50,0))</f>
        <v/>
      </c>
      <c r="N71" s="25" t="inlineStr"/>
      <c r="O71" s="25" t="inlineStr"/>
      <c r="P71" s="25" t="inlineStr"/>
      <c r="Q71" s="25" t="inlineStr"/>
      <c r="R71" s="25" t="inlineStr"/>
    </row>
    <row r="72" ht="28" customHeight="1">
      <c r="A72" s="39" t="n">
        <v>70</v>
      </c>
      <c r="B72" s="40" t="inlineStr"/>
      <c r="C72" s="40" t="inlineStr">
        <is>
          <t>🟨 Phase 2: Depth Building</t>
        </is>
      </c>
      <c r="D72" s="40" t="inlineStr">
        <is>
          <t>Week 11</t>
        </is>
      </c>
      <c r="E72" s="41" t="inlineStr">
        <is>
          <t>Segmentation, Compaction, Fragmentation (PROBLEM), Thrashing</t>
        </is>
      </c>
      <c r="F72" s="41" t="inlineStr">
        <is>
          <t>Geography — Water Resources</t>
        </is>
      </c>
      <c r="G72" s="41" t="inlineStr">
        <is>
          <t>Fragmentation=PROBLEM (not technique). Thrashing=excessive paging</t>
        </is>
      </c>
      <c r="H72" s="42" t="inlineStr"/>
      <c r="I72" s="25" t="inlineStr"/>
      <c r="J72" s="25" t="inlineStr"/>
      <c r="K72" s="25" t="inlineStr"/>
      <c r="L72" s="25" t="inlineStr"/>
      <c r="M72" s="26">
        <f>IF(H72="✅",100,IF(H72="🔄",50,0))</f>
        <v/>
      </c>
      <c r="N72" s="25" t="inlineStr"/>
      <c r="O72" s="25" t="inlineStr"/>
      <c r="P72" s="25" t="inlineStr"/>
      <c r="Q72" s="25" t="inlineStr"/>
      <c r="R72" s="25" t="inlineStr"/>
    </row>
    <row r="73" ht="28" customHeight="1">
      <c r="A73" s="39" t="n">
        <v>71</v>
      </c>
      <c r="B73" s="40" t="inlineStr"/>
      <c r="C73" s="40" t="inlineStr">
        <is>
          <t>🟨 Phase 2: Depth Building</t>
        </is>
      </c>
      <c r="D73" s="40" t="inlineStr">
        <is>
          <t>Week 11</t>
        </is>
      </c>
      <c r="E73" s="41" t="inlineStr">
        <is>
          <t>Disk Scheduling: FCFS, SSTF, SCAN — Head Movement Calc</t>
        </is>
      </c>
      <c r="F73" s="41" t="inlineStr">
        <is>
          <t>Geography — Indian Rivers</t>
        </is>
      </c>
      <c r="G73" s="41" t="inlineStr">
        <is>
          <t>FCFS=sum of absolute head position differences</t>
        </is>
      </c>
      <c r="H73" s="42" t="inlineStr"/>
      <c r="I73" s="25" t="inlineStr"/>
      <c r="J73" s="25" t="inlineStr"/>
      <c r="K73" s="25" t="inlineStr"/>
      <c r="L73" s="25" t="inlineStr"/>
      <c r="M73" s="26">
        <f>IF(H73="✅",100,IF(H73="🔄",50,0))</f>
        <v/>
      </c>
      <c r="N73" s="25" t="inlineStr"/>
      <c r="O73" s="25" t="inlineStr"/>
      <c r="P73" s="25" t="inlineStr"/>
      <c r="Q73" s="25" t="inlineStr"/>
      <c r="R73" s="25" t="inlineStr"/>
    </row>
    <row r="74" ht="28" customHeight="1">
      <c r="A74" s="39" t="n">
        <v>72</v>
      </c>
      <c r="B74" s="40" t="inlineStr"/>
      <c r="C74" s="40" t="inlineStr">
        <is>
          <t>🟨 Phase 2: Depth Building</t>
        </is>
      </c>
      <c r="D74" s="40" t="inlineStr">
        <is>
          <t>Week 11</t>
        </is>
      </c>
      <c r="E74" s="41" t="inlineStr">
        <is>
          <t>I/O Management: Memory-mapped vs I/O-mapped; NTFS/FAT32</t>
        </is>
      </c>
      <c r="F74" s="41" t="inlineStr">
        <is>
          <t>Polity — Local Government</t>
        </is>
      </c>
      <c r="G74" s="41" t="inlineStr">
        <is>
          <t>Memory-mapped I/O=shared address space; I/O-mapped=separate</t>
        </is>
      </c>
      <c r="H74" s="42" t="inlineStr"/>
      <c r="I74" s="25" t="inlineStr"/>
      <c r="J74" s="25" t="inlineStr"/>
      <c r="K74" s="25" t="inlineStr"/>
      <c r="L74" s="25" t="inlineStr"/>
      <c r="M74" s="26">
        <f>IF(H74="✅",100,IF(H74="🔄",50,0))</f>
        <v/>
      </c>
      <c r="N74" s="25" t="inlineStr"/>
      <c r="O74" s="25" t="inlineStr"/>
      <c r="P74" s="25" t="inlineStr"/>
      <c r="Q74" s="25" t="inlineStr"/>
      <c r="R74" s="25" t="inlineStr"/>
    </row>
    <row r="75" ht="28" customHeight="1">
      <c r="A75" s="39" t="n">
        <v>73</v>
      </c>
      <c r="B75" s="40" t="inlineStr"/>
      <c r="C75" s="40" t="inlineStr">
        <is>
          <t>🟨 Phase 2: Depth Building</t>
        </is>
      </c>
      <c r="D75" s="40" t="inlineStr">
        <is>
          <t>Week 11</t>
        </is>
      </c>
      <c r="E75" s="41" t="inlineStr">
        <is>
          <t>Threads: share code+data; own stack; Deadlock 4 Conditions</t>
        </is>
      </c>
      <c r="F75" s="41" t="inlineStr">
        <is>
          <t>Current Affairs — Education Policy</t>
        </is>
      </c>
      <c r="G75" s="41" t="inlineStr">
        <is>
          <t>Threads share: code+data sections. Each thread has OWN stack</t>
        </is>
      </c>
      <c r="H75" s="42" t="inlineStr"/>
      <c r="I75" s="25" t="inlineStr"/>
      <c r="J75" s="25" t="inlineStr"/>
      <c r="K75" s="25" t="inlineStr"/>
      <c r="L75" s="25" t="inlineStr"/>
      <c r="M75" s="26">
        <f>IF(H75="✅",100,IF(H75="🔄",50,0))</f>
        <v/>
      </c>
      <c r="N75" s="25" t="inlineStr"/>
      <c r="O75" s="25" t="inlineStr"/>
      <c r="P75" s="25" t="inlineStr"/>
      <c r="Q75" s="25" t="inlineStr"/>
      <c r="R75" s="25" t="inlineStr"/>
    </row>
    <row r="76" ht="28" customHeight="1">
      <c r="A76" s="27" t="n">
        <v>74</v>
      </c>
      <c r="B76" s="28" t="inlineStr"/>
      <c r="C76" s="28" t="inlineStr">
        <is>
          <t>🟨 Phase 2: Depth Building</t>
        </is>
      </c>
      <c r="D76" s="28" t="inlineStr">
        <is>
          <t>Week 11</t>
        </is>
      </c>
      <c r="E76" s="29" t="inlineStr">
        <is>
          <t>REVISION: Operating Systems Complete + 25 PYQ MCQs</t>
        </is>
      </c>
      <c r="F76" s="29" t="inlineStr">
        <is>
          <t>Revise All GS Topics</t>
        </is>
      </c>
      <c r="G76" s="29" t="inlineStr">
        <is>
          <t>REVISION DAY</t>
        </is>
      </c>
      <c r="H76" s="30" t="inlineStr"/>
      <c r="I76" s="25" t="inlineStr"/>
      <c r="J76" s="25" t="inlineStr"/>
      <c r="K76" s="25" t="inlineStr"/>
      <c r="L76" s="25" t="inlineStr"/>
      <c r="M76" s="26">
        <f>IF(H76="✅",100,IF(H76="🔄",50,0))</f>
        <v/>
      </c>
      <c r="N76" s="25" t="inlineStr"/>
      <c r="O76" s="25" t="inlineStr"/>
      <c r="P76" s="25" t="inlineStr"/>
      <c r="Q76" s="25" t="inlineStr"/>
      <c r="R76" s="25" t="inlineStr"/>
    </row>
    <row r="77" ht="28" customHeight="1">
      <c r="A77" s="39" t="n">
        <v>75</v>
      </c>
      <c r="B77" s="40" t="inlineStr"/>
      <c r="C77" s="40" t="inlineStr">
        <is>
          <t>🟨 Phase 2: Depth Building</t>
        </is>
      </c>
      <c r="D77" s="40" t="inlineStr">
        <is>
          <t>Week 12</t>
        </is>
      </c>
      <c r="E77" s="41" t="inlineStr">
        <is>
          <t>CPU: ALU, Control Unit (generates Control Signals), Memory Hier.</t>
        </is>
      </c>
      <c r="F77" s="41" t="inlineStr">
        <is>
          <t>GS Revision — Maths Shortcuts</t>
        </is>
      </c>
      <c r="G77" s="41" t="inlineStr">
        <is>
          <t>Control unit generates CONTROL SIGNALS. CPU=brain of computer</t>
        </is>
      </c>
      <c r="H77" s="42" t="inlineStr"/>
      <c r="I77" s="25" t="inlineStr"/>
      <c r="J77" s="25" t="inlineStr"/>
      <c r="K77" s="25" t="inlineStr"/>
      <c r="L77" s="25" t="inlineStr"/>
      <c r="M77" s="26">
        <f>IF(H77="✅",100,IF(H77="🔄",50,0))</f>
        <v/>
      </c>
      <c r="N77" s="25" t="inlineStr"/>
      <c r="O77" s="25" t="inlineStr"/>
      <c r="P77" s="25" t="inlineStr"/>
      <c r="Q77" s="25" t="inlineStr"/>
      <c r="R77" s="25" t="inlineStr"/>
    </row>
    <row r="78" ht="28" customHeight="1">
      <c r="A78" s="39" t="n">
        <v>76</v>
      </c>
      <c r="B78" s="40" t="inlineStr"/>
      <c r="C78" s="40" t="inlineStr">
        <is>
          <t>🟨 Phase 2: Depth Building</t>
        </is>
      </c>
      <c r="D78" s="40" t="inlineStr">
        <is>
          <t>Week 12</t>
        </is>
      </c>
      <c r="E78" s="41" t="inlineStr">
        <is>
          <t>Addressing Modes: Immediate, Direct(ADD X Y), Indirect, Register</t>
        </is>
      </c>
      <c r="F78" s="41" t="inlineStr">
        <is>
          <t>History — Freedom Fighters of Bihar</t>
        </is>
      </c>
      <c r="G78" s="41" t="inlineStr">
        <is>
          <t>ADD X Y = Absolute addressing. TF=Trap Flag</t>
        </is>
      </c>
      <c r="H78" s="42" t="inlineStr"/>
      <c r="I78" s="25" t="inlineStr"/>
      <c r="J78" s="25" t="inlineStr"/>
      <c r="K78" s="25" t="inlineStr"/>
      <c r="L78" s="25" t="inlineStr"/>
      <c r="M78" s="26">
        <f>IF(H78="✅",100,IF(H78="🔄",50,0))</f>
        <v/>
      </c>
      <c r="N78" s="25" t="inlineStr"/>
      <c r="O78" s="25" t="inlineStr"/>
      <c r="P78" s="25" t="inlineStr"/>
      <c r="Q78" s="25" t="inlineStr"/>
      <c r="R78" s="25" t="inlineStr"/>
    </row>
    <row r="79" ht="28" customHeight="1">
      <c r="A79" s="39" t="n">
        <v>77</v>
      </c>
      <c r="B79" s="40" t="inlineStr"/>
      <c r="C79" s="40" t="inlineStr">
        <is>
          <t>🟨 Phase 2: Depth Building</t>
        </is>
      </c>
      <c r="D79" s="40" t="inlineStr">
        <is>
          <t>Week 12</t>
        </is>
      </c>
      <c r="E79" s="41" t="inlineStr">
        <is>
          <t>Memory: SRAM/DRAM, ROM Types, Buffer Registers, ASCII, PCI Bus</t>
        </is>
      </c>
      <c r="F79" s="41" t="inlineStr">
        <is>
          <t>Biology — Plant Topics</t>
        </is>
      </c>
      <c r="G79" s="41" t="inlineStr">
        <is>
          <t>Buffer registers overcome difference in data transfer SPEED</t>
        </is>
      </c>
      <c r="H79" s="42" t="inlineStr"/>
      <c r="I79" s="25" t="inlineStr"/>
      <c r="J79" s="25" t="inlineStr"/>
      <c r="K79" s="25" t="inlineStr"/>
      <c r="L79" s="25" t="inlineStr"/>
      <c r="M79" s="26">
        <f>IF(H79="✅",100,IF(H79="🔄",50,0))</f>
        <v/>
      </c>
      <c r="N79" s="25" t="inlineStr"/>
      <c r="O79" s="25" t="inlineStr"/>
      <c r="P79" s="25" t="inlineStr"/>
      <c r="Q79" s="25" t="inlineStr"/>
      <c r="R79" s="25" t="inlineStr"/>
    </row>
    <row r="80" ht="28" customHeight="1">
      <c r="A80" s="31" t="n">
        <v>78</v>
      </c>
      <c r="B80" s="32" t="inlineStr"/>
      <c r="C80" s="32" t="inlineStr">
        <is>
          <t>🟨 Phase 2: Depth Building</t>
        </is>
      </c>
      <c r="D80" s="32" t="inlineStr">
        <is>
          <t>Week 12</t>
        </is>
      </c>
      <c r="E80" s="33" t="inlineStr">
        <is>
          <t>TRE 2.0 FULL PYQ PAPER — CS Section (80 Questions)</t>
        </is>
      </c>
      <c r="F80" s="33" t="inlineStr">
        <is>
          <t>—</t>
        </is>
      </c>
      <c r="G80" s="33" t="inlineStr">
        <is>
          <t>EXAM SIMULATION — Compare with TRE 1.0 performance</t>
        </is>
      </c>
      <c r="H80" s="34" t="inlineStr"/>
      <c r="I80" s="25" t="inlineStr"/>
      <c r="J80" s="25" t="inlineStr"/>
      <c r="K80" s="25" t="inlineStr"/>
      <c r="L80" s="25" t="inlineStr"/>
      <c r="M80" s="26">
        <f>IF(H80="✅",100,IF(H80="🔄",50,0))</f>
        <v/>
      </c>
      <c r="N80" s="25" t="inlineStr"/>
      <c r="O80" s="25" t="inlineStr"/>
      <c r="P80" s="25" t="inlineStr"/>
      <c r="Q80" s="25" t="inlineStr"/>
      <c r="R80" s="25" t="inlineStr"/>
    </row>
    <row r="81" ht="28" customHeight="1">
      <c r="A81" s="39" t="n">
        <v>79</v>
      </c>
      <c r="B81" s="40" t="inlineStr"/>
      <c r="C81" s="40" t="inlineStr">
        <is>
          <t>🟨 Phase 2: Depth Building</t>
        </is>
      </c>
      <c r="D81" s="40" t="inlineStr">
        <is>
          <t>Week 12</t>
        </is>
      </c>
      <c r="E81" s="41" t="inlineStr">
        <is>
          <t>TRE 2.0 Error Analysis</t>
        </is>
      </c>
      <c r="F81" s="41" t="inlineStr">
        <is>
          <t>—</t>
        </is>
      </c>
      <c r="G81" s="41" t="inlineStr">
        <is>
          <t>ANALYSIS DAY</t>
        </is>
      </c>
      <c r="H81" s="42" t="inlineStr"/>
      <c r="I81" s="25" t="inlineStr"/>
      <c r="J81" s="25" t="inlineStr"/>
      <c r="K81" s="25" t="inlineStr"/>
      <c r="L81" s="25" t="inlineStr"/>
      <c r="M81" s="26">
        <f>IF(H81="✅",100,IF(H81="🔄",50,0))</f>
        <v/>
      </c>
      <c r="N81" s="25" t="inlineStr"/>
      <c r="O81" s="25" t="inlineStr"/>
      <c r="P81" s="25" t="inlineStr"/>
      <c r="Q81" s="25" t="inlineStr"/>
      <c r="R81" s="25" t="inlineStr"/>
    </row>
    <row r="82" ht="28" customHeight="1">
      <c r="A82" s="39" t="n">
        <v>80</v>
      </c>
      <c r="B82" s="40" t="inlineStr"/>
      <c r="C82" s="40" t="inlineStr">
        <is>
          <t>🟨 Phase 2: Depth Building</t>
        </is>
      </c>
      <c r="D82" s="40" t="inlineStr">
        <is>
          <t>Week 12</t>
        </is>
      </c>
      <c r="E82" s="41" t="inlineStr">
        <is>
          <t>SW Engineering: SDLC Models, Verification vs Validation</t>
        </is>
      </c>
      <c r="F82" s="41" t="inlineStr">
        <is>
          <t>GS Revision — Science Shortcuts</t>
        </is>
      </c>
      <c r="G82" s="41" t="inlineStr">
        <is>
          <t>Verification=building RIGHT; Validation=building the RIGHT product</t>
        </is>
      </c>
      <c r="H82" s="42" t="inlineStr"/>
      <c r="I82" s="25" t="inlineStr"/>
      <c r="J82" s="25" t="inlineStr"/>
      <c r="K82" s="25" t="inlineStr"/>
      <c r="L82" s="25" t="inlineStr"/>
      <c r="M82" s="26">
        <f>IF(H82="✅",100,IF(H82="🔄",50,0))</f>
        <v/>
      </c>
      <c r="N82" s="25" t="inlineStr"/>
      <c r="O82" s="25" t="inlineStr"/>
      <c r="P82" s="25" t="inlineStr"/>
      <c r="Q82" s="25" t="inlineStr"/>
      <c r="R82" s="25" t="inlineStr"/>
    </row>
    <row r="83" ht="28" customHeight="1">
      <c r="A83" s="39" t="n">
        <v>81</v>
      </c>
      <c r="B83" s="40" t="inlineStr"/>
      <c r="C83" s="40" t="inlineStr">
        <is>
          <t>🟨 Phase 2: Depth Building</t>
        </is>
      </c>
      <c r="D83" s="40" t="inlineStr">
        <is>
          <t>Week 12</t>
        </is>
      </c>
      <c r="E83" s="41" t="inlineStr">
        <is>
          <t>SW Engineering: Testing Types, Prototyping, Primary Goal</t>
        </is>
      </c>
      <c r="F83" s="41" t="inlineStr">
        <is>
          <t>GS Current Affairs Update</t>
        </is>
      </c>
      <c r="G83" s="41" t="inlineStr">
        <is>
          <t>Primary goal = meet requirements within BUDGET and SCHEDULE</t>
        </is>
      </c>
      <c r="H83" s="42" t="inlineStr"/>
      <c r="I83" s="25" t="inlineStr"/>
      <c r="J83" s="25" t="inlineStr"/>
      <c r="K83" s="25" t="inlineStr"/>
      <c r="L83" s="25" t="inlineStr"/>
      <c r="M83" s="26">
        <f>IF(H83="✅",100,IF(H83="🔄",50,0))</f>
        <v/>
      </c>
      <c r="N83" s="25" t="inlineStr"/>
      <c r="O83" s="25" t="inlineStr"/>
      <c r="P83" s="25" t="inlineStr"/>
      <c r="Q83" s="25" t="inlineStr"/>
      <c r="R83" s="25" t="inlineStr"/>
    </row>
    <row r="84" ht="28" customHeight="1">
      <c r="A84" s="39" t="n">
        <v>82</v>
      </c>
      <c r="B84" s="40" t="inlineStr"/>
      <c r="C84" s="40" t="inlineStr">
        <is>
          <t>🟨 Phase 2: Depth Building</t>
        </is>
      </c>
      <c r="D84" s="40" t="inlineStr">
        <is>
          <t>Week 13</t>
        </is>
      </c>
      <c r="E84" s="41" t="inlineStr">
        <is>
          <t>AI: ML/Robotics/NLP (ALL THREE→D), Supervised=DT/LR, K-Means</t>
        </is>
      </c>
      <c r="F84" s="41" t="inlineStr">
        <is>
          <t>GS — Economy, RBI</t>
        </is>
      </c>
      <c r="G84" s="41" t="inlineStr">
        <is>
          <t>AI subfields = ALL THREE (ML+Robotics+NLP) → Answer is D</t>
        </is>
      </c>
      <c r="H84" s="42" t="inlineStr"/>
      <c r="I84" s="25" t="inlineStr"/>
      <c r="J84" s="25" t="inlineStr"/>
      <c r="K84" s="25" t="inlineStr"/>
      <c r="L84" s="25" t="inlineStr"/>
      <c r="M84" s="26">
        <f>IF(H84="✅",100,IF(H84="🔄",50,0))</f>
        <v/>
      </c>
      <c r="N84" s="25" t="inlineStr"/>
      <c r="O84" s="25" t="inlineStr"/>
      <c r="P84" s="25" t="inlineStr"/>
      <c r="Q84" s="25" t="inlineStr"/>
      <c r="R84" s="25" t="inlineStr"/>
    </row>
    <row r="85" ht="28" customHeight="1">
      <c r="A85" s="39" t="n">
        <v>83</v>
      </c>
      <c r="B85" s="40" t="inlineStr"/>
      <c r="C85" s="40" t="inlineStr">
        <is>
          <t>🟨 Phase 2: Depth Building</t>
        </is>
      </c>
      <c r="D85" s="40" t="inlineStr">
        <is>
          <t>Week 13</t>
        </is>
      </c>
      <c r="E85" s="41" t="inlineStr">
        <is>
          <t>IoT: MQTT Protocol, Bluetooth 5.0, Cloud IaaS/PaaS/SaaS</t>
        </is>
      </c>
      <c r="F85" s="41" t="inlineStr">
        <is>
          <t>GS — Environment, Green Tech</t>
        </is>
      </c>
      <c r="G85" s="41" t="inlineStr">
        <is>
          <t>IoT protocol=MQTT. Short-range=Bluetooth. Green H2=Electrolysis</t>
        </is>
      </c>
      <c r="H85" s="42" t="inlineStr"/>
      <c r="I85" s="25" t="inlineStr"/>
      <c r="J85" s="25" t="inlineStr"/>
      <c r="K85" s="25" t="inlineStr"/>
      <c r="L85" s="25" t="inlineStr"/>
      <c r="M85" s="26">
        <f>IF(H85="✅",100,IF(H85="🔄",50,0))</f>
        <v/>
      </c>
      <c r="N85" s="25" t="inlineStr"/>
      <c r="O85" s="25" t="inlineStr"/>
      <c r="P85" s="25" t="inlineStr"/>
      <c r="Q85" s="25" t="inlineStr"/>
      <c r="R85" s="25" t="inlineStr"/>
    </row>
    <row r="86" ht="28" customHeight="1">
      <c r="A86" s="39" t="n">
        <v>84</v>
      </c>
      <c r="B86" s="40" t="inlineStr"/>
      <c r="C86" s="40" t="inlineStr">
        <is>
          <t>🟨 Phase 2: Depth Building</t>
        </is>
      </c>
      <c r="D86" s="40" t="inlineStr">
        <is>
          <t>Week 13</t>
        </is>
      </c>
      <c r="E86" s="41" t="inlineStr">
        <is>
          <t>Theory of Computation: Halting (undecidable), Turing Machine</t>
        </is>
      </c>
      <c r="F86" s="41" t="inlineStr">
        <is>
          <t>GS Revision</t>
        </is>
      </c>
      <c r="G86" s="41" t="inlineStr">
        <is>
          <t>Halting problem=undecidable. Assembly=low-level. 5th gen=AI+NLP</t>
        </is>
      </c>
      <c r="H86" s="42" t="inlineStr"/>
      <c r="I86" s="25" t="inlineStr"/>
      <c r="J86" s="25" t="inlineStr"/>
      <c r="K86" s="25" t="inlineStr"/>
      <c r="L86" s="25" t="inlineStr"/>
      <c r="M86" s="26">
        <f>IF(H86="✅",100,IF(H86="🔄",50,0))</f>
        <v/>
      </c>
      <c r="N86" s="25" t="inlineStr"/>
      <c r="O86" s="25" t="inlineStr"/>
      <c r="P86" s="25" t="inlineStr"/>
      <c r="Q86" s="25" t="inlineStr"/>
      <c r="R86" s="25" t="inlineStr"/>
    </row>
    <row r="87" ht="28" customHeight="1">
      <c r="A87" s="39" t="n">
        <v>85</v>
      </c>
      <c r="B87" s="40" t="inlineStr"/>
      <c r="C87" s="40" t="inlineStr">
        <is>
          <t>🟨 Phase 2: Depth Building</t>
        </is>
      </c>
      <c r="D87" s="40" t="inlineStr">
        <is>
          <t>Week 13</t>
        </is>
      </c>
      <c r="E87" s="41" t="inlineStr">
        <is>
          <t>Web Tech: HTML=structure, Server-side=PHP/Python, HTTP/HTTPS</t>
        </is>
      </c>
      <c r="F87" s="41" t="inlineStr">
        <is>
          <t>GS — Awards &amp; Recognitions</t>
        </is>
      </c>
      <c r="G87" s="41" t="inlineStr">
        <is>
          <t>HTML=defines STRUCTURE. Server-side=PHP/Python/Node.js</t>
        </is>
      </c>
      <c r="H87" s="42" t="inlineStr"/>
      <c r="I87" s="25" t="inlineStr"/>
      <c r="J87" s="25" t="inlineStr"/>
      <c r="K87" s="25" t="inlineStr"/>
      <c r="L87" s="25" t="inlineStr"/>
      <c r="M87" s="26">
        <f>IF(H87="✅",100,IF(H87="🔄",50,0))</f>
        <v/>
      </c>
      <c r="N87" s="25" t="inlineStr"/>
      <c r="O87" s="25" t="inlineStr"/>
      <c r="P87" s="25" t="inlineStr"/>
      <c r="Q87" s="25" t="inlineStr"/>
      <c r="R87" s="25" t="inlineStr"/>
    </row>
    <row r="88" ht="28" customHeight="1">
      <c r="A88" s="31" t="n">
        <v>86</v>
      </c>
      <c r="B88" s="32" t="inlineStr"/>
      <c r="C88" s="32" t="inlineStr">
        <is>
          <t>🟨 Phase 2: Depth Building</t>
        </is>
      </c>
      <c r="D88" s="32" t="inlineStr">
        <is>
          <t>Week 13</t>
        </is>
      </c>
      <c r="E88" s="33" t="inlineStr">
        <is>
          <t>TRE 3.0 FULL PYQ PAPER — CS Section (80 Questions)</t>
        </is>
      </c>
      <c r="F88" s="33" t="inlineStr">
        <is>
          <t>—</t>
        </is>
      </c>
      <c r="G88" s="33" t="inlineStr">
        <is>
          <t>EXAM SIMULATION — Hardest paper; focus on Digital Electronics + OS</t>
        </is>
      </c>
      <c r="H88" s="34" t="inlineStr"/>
      <c r="I88" s="25" t="inlineStr"/>
      <c r="J88" s="25" t="inlineStr"/>
      <c r="K88" s="25" t="inlineStr"/>
      <c r="L88" s="25" t="inlineStr"/>
      <c r="M88" s="26">
        <f>IF(H88="✅",100,IF(H88="🔄",50,0))</f>
        <v/>
      </c>
      <c r="N88" s="25" t="inlineStr"/>
      <c r="O88" s="25" t="inlineStr"/>
      <c r="P88" s="25" t="inlineStr"/>
      <c r="Q88" s="25" t="inlineStr"/>
      <c r="R88" s="25" t="inlineStr"/>
    </row>
    <row r="89" ht="28" customHeight="1">
      <c r="A89" s="39" t="n">
        <v>87</v>
      </c>
      <c r="B89" s="40" t="inlineStr"/>
      <c r="C89" s="40" t="inlineStr">
        <is>
          <t>🟨 Phase 2: Depth Building</t>
        </is>
      </c>
      <c r="D89" s="40" t="inlineStr">
        <is>
          <t>Week 13</t>
        </is>
      </c>
      <c r="E89" s="41" t="inlineStr">
        <is>
          <t>TRE 3.0 Error Analysis + Pattern Recognition</t>
        </is>
      </c>
      <c r="F89" s="41" t="inlineStr">
        <is>
          <t>—</t>
        </is>
      </c>
      <c r="G89" s="41" t="inlineStr">
        <is>
          <t>ANALYSIS DAY — Identify DE surge, OS increase pattern</t>
        </is>
      </c>
      <c r="H89" s="42" t="inlineStr"/>
      <c r="I89" s="25" t="inlineStr"/>
      <c r="J89" s="25" t="inlineStr"/>
      <c r="K89" s="25" t="inlineStr"/>
      <c r="L89" s="25" t="inlineStr"/>
      <c r="M89" s="26">
        <f>IF(H89="✅",100,IF(H89="🔄",50,0))</f>
        <v/>
      </c>
      <c r="N89" s="25" t="inlineStr"/>
      <c r="O89" s="25" t="inlineStr"/>
      <c r="P89" s="25" t="inlineStr"/>
      <c r="Q89" s="25" t="inlineStr"/>
      <c r="R89" s="25" t="inlineStr"/>
    </row>
    <row r="90" ht="28" customHeight="1">
      <c r="A90" s="27" t="n">
        <v>88</v>
      </c>
      <c r="B90" s="28" t="inlineStr"/>
      <c r="C90" s="28" t="inlineStr">
        <is>
          <t>🟨 Phase 2: Depth Building</t>
        </is>
      </c>
      <c r="D90" s="28" t="inlineStr">
        <is>
          <t>Week 13</t>
        </is>
      </c>
      <c r="E90" s="29" t="inlineStr">
        <is>
          <t>REVISION: Phase 2 Mid-Point — DE + OS + Architecture Quiz</t>
        </is>
      </c>
      <c r="F90" s="29" t="inlineStr">
        <is>
          <t>Full GS Practice Test</t>
        </is>
      </c>
      <c r="G90" s="29" t="inlineStr">
        <is>
          <t>PHASE 2 MIDPOINT</t>
        </is>
      </c>
      <c r="H90" s="30" t="inlineStr"/>
      <c r="I90" s="25" t="inlineStr"/>
      <c r="J90" s="25" t="inlineStr"/>
      <c r="K90" s="25" t="inlineStr"/>
      <c r="L90" s="25" t="inlineStr"/>
      <c r="M90" s="26">
        <f>IF(H90="✅",100,IF(H90="🔄",50,0))</f>
        <v/>
      </c>
      <c r="N90" s="25" t="inlineStr"/>
      <c r="O90" s="25" t="inlineStr"/>
      <c r="P90" s="25" t="inlineStr"/>
      <c r="Q90" s="25" t="inlineStr"/>
      <c r="R90" s="25" t="inlineStr"/>
    </row>
    <row r="91" ht="28" customHeight="1">
      <c r="A91" s="39" t="n">
        <v>89</v>
      </c>
      <c r="B91" s="40" t="inlineStr"/>
      <c r="C91" s="40" t="inlineStr">
        <is>
          <t>🟨 Phase 2: Depth Building</t>
        </is>
      </c>
      <c r="D91" s="40" t="inlineStr">
        <is>
          <t>Week 14</t>
        </is>
      </c>
      <c r="E91" s="41" t="inlineStr">
        <is>
          <t>Deep Dive: All Conceptual Traps &amp; Wrong-Belief Questions</t>
        </is>
      </c>
      <c r="F91" s="41" t="inlineStr">
        <is>
          <t>GS Weak Topics</t>
        </is>
      </c>
      <c r="G91" s="41" t="inlineStr">
        <is>
          <t>P2P≠topology; Fragmentation=problem; UNION≠constraint; COMPUTE≠aggregate</t>
        </is>
      </c>
      <c r="H91" s="42" t="inlineStr"/>
      <c r="I91" s="25" t="inlineStr"/>
      <c r="J91" s="25" t="inlineStr"/>
      <c r="K91" s="25" t="inlineStr"/>
      <c r="L91" s="25" t="inlineStr"/>
      <c r="M91" s="26">
        <f>IF(H91="✅",100,IF(H91="🔄",50,0))</f>
        <v/>
      </c>
      <c r="N91" s="25" t="inlineStr"/>
      <c r="O91" s="25" t="inlineStr"/>
      <c r="P91" s="25" t="inlineStr"/>
      <c r="Q91" s="25" t="inlineStr"/>
      <c r="R91" s="25" t="inlineStr"/>
    </row>
    <row r="92" ht="28" customHeight="1">
      <c r="A92" s="39" t="n">
        <v>90</v>
      </c>
      <c r="B92" s="40" t="inlineStr"/>
      <c r="C92" s="40" t="inlineStr">
        <is>
          <t>🟨 Phase 2: Depth Building</t>
        </is>
      </c>
      <c r="D92" s="40" t="inlineStr">
        <is>
          <t>Week 14</t>
        </is>
      </c>
      <c r="E92" s="41" t="inlineStr">
        <is>
          <t>Language: Hindi Grammar Deep Practice</t>
        </is>
      </c>
      <c r="F92" s="41" t="inlineStr">
        <is>
          <t>Hindi Grammar — Karak, Tatsam, Muhavare</t>
        </is>
      </c>
      <c r="G92" s="41" t="inlineStr">
        <is>
          <t>LANGUAGE DAY</t>
        </is>
      </c>
      <c r="H92" s="42" t="inlineStr"/>
      <c r="I92" s="25" t="inlineStr"/>
      <c r="J92" s="25" t="inlineStr"/>
      <c r="K92" s="25" t="inlineStr"/>
      <c r="L92" s="25" t="inlineStr"/>
      <c r="M92" s="26">
        <f>IF(H92="✅",100,IF(H92="🔄",50,0))</f>
        <v/>
      </c>
      <c r="N92" s="25" t="inlineStr"/>
      <c r="O92" s="25" t="inlineStr"/>
      <c r="P92" s="25" t="inlineStr"/>
      <c r="Q92" s="25" t="inlineStr"/>
      <c r="R92" s="25" t="inlineStr"/>
    </row>
    <row r="93" ht="28" customHeight="1">
      <c r="A93" s="39" t="n">
        <v>91</v>
      </c>
      <c r="B93" s="40" t="inlineStr"/>
      <c r="C93" s="40" t="inlineStr">
        <is>
          <t>🟨 Phase 2: Depth Building</t>
        </is>
      </c>
      <c r="D93" s="40" t="inlineStr">
        <is>
          <t>Week 14</t>
        </is>
      </c>
      <c r="E93" s="41" t="inlineStr">
        <is>
          <t>Language: English Comprehension + Articles Grammar</t>
        </is>
      </c>
      <c r="F93" s="41" t="inlineStr">
        <is>
          <t>English — Articles, Comprehension Strategy</t>
        </is>
      </c>
      <c r="G93" s="41" t="inlineStr">
        <is>
          <t>LANGUAGE DAY</t>
        </is>
      </c>
      <c r="H93" s="42" t="inlineStr"/>
      <c r="I93" s="25" t="inlineStr"/>
      <c r="J93" s="25" t="inlineStr"/>
      <c r="K93" s="25" t="inlineStr"/>
      <c r="L93" s="25" t="inlineStr"/>
      <c r="M93" s="26">
        <f>IF(H93="✅",100,IF(H93="🔄",50,0))</f>
        <v/>
      </c>
      <c r="N93" s="25" t="inlineStr"/>
      <c r="O93" s="25" t="inlineStr"/>
      <c r="P93" s="25" t="inlineStr"/>
      <c r="Q93" s="25" t="inlineStr"/>
      <c r="R93" s="25" t="inlineStr"/>
    </row>
    <row r="94" ht="28" customHeight="1">
      <c r="A94" s="43" t="n">
        <v>92</v>
      </c>
      <c r="B94" s="44" t="inlineStr"/>
      <c r="C94" s="44" t="inlineStr">
        <is>
          <t>🟨 Phase 2: Depth Building</t>
        </is>
      </c>
      <c r="D94" s="44" t="inlineStr">
        <is>
          <t>Week 14</t>
        </is>
      </c>
      <c r="E94" s="45" t="inlineStr">
        <is>
          <t>MOCK TEST 2 — Full Paper (150 Questions, 2.5 Hours)</t>
        </is>
      </c>
      <c r="F94" s="45" t="inlineStr">
        <is>
          <t>—</t>
        </is>
      </c>
      <c r="G94" s="45" t="inlineStr">
        <is>
          <t>MOCK TEST 2</t>
        </is>
      </c>
      <c r="H94" s="46" t="inlineStr"/>
      <c r="I94" s="25" t="inlineStr"/>
      <c r="J94" s="25" t="inlineStr"/>
      <c r="K94" s="25" t="inlineStr"/>
      <c r="L94" s="25" t="inlineStr"/>
      <c r="M94" s="26">
        <f>IF(H94="✅",100,IF(H94="🔄",50,0))</f>
        <v/>
      </c>
      <c r="N94" s="25" t="inlineStr"/>
      <c r="O94" s="25" t="inlineStr"/>
      <c r="P94" s="25" t="inlineStr"/>
      <c r="Q94" s="25" t="inlineStr"/>
      <c r="R94" s="25" t="inlineStr"/>
    </row>
    <row r="95" ht="28" customHeight="1">
      <c r="A95" s="39" t="n">
        <v>93</v>
      </c>
      <c r="B95" s="40" t="inlineStr"/>
      <c r="C95" s="40" t="inlineStr">
        <is>
          <t>🟨 Phase 2: Depth Building</t>
        </is>
      </c>
      <c r="D95" s="40" t="inlineStr">
        <is>
          <t>Week 14</t>
        </is>
      </c>
      <c r="E95" s="41" t="inlineStr">
        <is>
          <t>Mock Test 2 Analysis + Weak Area 4-Week Plan</t>
        </is>
      </c>
      <c r="F95" s="41" t="inlineStr">
        <is>
          <t>—</t>
        </is>
      </c>
      <c r="G95" s="41" t="inlineStr">
        <is>
          <t>ANALYSIS DAY</t>
        </is>
      </c>
      <c r="H95" s="42" t="inlineStr"/>
      <c r="I95" s="25" t="inlineStr"/>
      <c r="J95" s="25" t="inlineStr"/>
      <c r="K95" s="25" t="inlineStr"/>
      <c r="L95" s="25" t="inlineStr"/>
      <c r="M95" s="26">
        <f>IF(H95="✅",100,IF(H95="🔄",50,0))</f>
        <v/>
      </c>
      <c r="N95" s="25" t="inlineStr"/>
      <c r="O95" s="25" t="inlineStr"/>
      <c r="P95" s="25" t="inlineStr"/>
      <c r="Q95" s="25" t="inlineStr"/>
      <c r="R95" s="25" t="inlineStr"/>
    </row>
    <row r="96" ht="28" customHeight="1">
      <c r="A96" s="39" t="n">
        <v>94</v>
      </c>
      <c r="B96" s="40" t="inlineStr"/>
      <c r="C96" s="40" t="inlineStr">
        <is>
          <t>🟨 Phase 2: Depth Building</t>
        </is>
      </c>
      <c r="D96" s="40" t="inlineStr">
        <is>
          <t>Week 14</t>
        </is>
      </c>
      <c r="E96" s="41" t="inlineStr">
        <is>
          <t>Algorithm Deep Practice: 30 Sorting/Searching/NP MCQs</t>
        </is>
      </c>
      <c r="F96" s="41" t="inlineStr">
        <is>
          <t>History Revision</t>
        </is>
      </c>
      <c r="G96" s="41" t="inlineStr">
        <is>
          <t>PRACTICE DAY</t>
        </is>
      </c>
      <c r="H96" s="42" t="inlineStr"/>
      <c r="I96" s="25" t="inlineStr"/>
      <c r="J96" s="25" t="inlineStr"/>
      <c r="K96" s="25" t="inlineStr"/>
      <c r="L96" s="25" t="inlineStr"/>
      <c r="M96" s="26">
        <f>IF(H96="✅",100,IF(H96="🔄",50,0))</f>
        <v/>
      </c>
      <c r="N96" s="25" t="inlineStr"/>
      <c r="O96" s="25" t="inlineStr"/>
      <c r="P96" s="25" t="inlineStr"/>
      <c r="Q96" s="25" t="inlineStr"/>
      <c r="R96" s="25" t="inlineStr"/>
    </row>
    <row r="97" ht="28" customHeight="1">
      <c r="A97" s="39" t="n">
        <v>95</v>
      </c>
      <c r="B97" s="40" t="inlineStr"/>
      <c r="C97" s="40" t="inlineStr">
        <is>
          <t>🟨 Phase 2: Depth Building</t>
        </is>
      </c>
      <c r="D97" s="40" t="inlineStr">
        <is>
          <t>Week 14</t>
        </is>
      </c>
      <c r="E97" s="41" t="inlineStr">
        <is>
          <t>Networks Deep Practice: 35 Protocol/IP/Security MCQs</t>
        </is>
      </c>
      <c r="F97" s="41" t="inlineStr">
        <is>
          <t>Geography Revision</t>
        </is>
      </c>
      <c r="G97" s="41" t="inlineStr">
        <is>
          <t>PRACTICE DAY</t>
        </is>
      </c>
      <c r="H97" s="42" t="inlineStr"/>
      <c r="I97" s="25" t="inlineStr"/>
      <c r="J97" s="25" t="inlineStr"/>
      <c r="K97" s="25" t="inlineStr"/>
      <c r="L97" s="25" t="inlineStr"/>
      <c r="M97" s="26">
        <f>IF(H97="✅",100,IF(H97="🔄",50,0))</f>
        <v/>
      </c>
      <c r="N97" s="25" t="inlineStr"/>
      <c r="O97" s="25" t="inlineStr"/>
      <c r="P97" s="25" t="inlineStr"/>
      <c r="Q97" s="25" t="inlineStr"/>
      <c r="R97" s="25" t="inlineStr"/>
    </row>
    <row r="98" ht="28" customHeight="1">
      <c r="A98" s="39" t="n">
        <v>96</v>
      </c>
      <c r="B98" s="40" t="inlineStr"/>
      <c r="C98" s="40" t="inlineStr">
        <is>
          <t>🟨 Phase 2: Depth Building</t>
        </is>
      </c>
      <c r="D98" s="40" t="inlineStr">
        <is>
          <t>Week 15</t>
        </is>
      </c>
      <c r="E98" s="41" t="inlineStr">
        <is>
          <t>C++ Output Prediction: 20 Questions — Recursion, Pointers</t>
        </is>
      </c>
      <c r="F98" s="41" t="inlineStr">
        <is>
          <t>Science Revision</t>
        </is>
      </c>
      <c r="G98" s="41" t="inlineStr">
        <is>
          <t>PRACTICE DAY</t>
        </is>
      </c>
      <c r="H98" s="42" t="inlineStr"/>
      <c r="I98" s="25" t="inlineStr"/>
      <c r="J98" s="25" t="inlineStr"/>
      <c r="K98" s="25" t="inlineStr"/>
      <c r="L98" s="25" t="inlineStr"/>
      <c r="M98" s="26">
        <f>IF(H98="✅",100,IF(H98="🔄",50,0))</f>
        <v/>
      </c>
      <c r="N98" s="25" t="inlineStr"/>
      <c r="O98" s="25" t="inlineStr"/>
      <c r="P98" s="25" t="inlineStr"/>
      <c r="Q98" s="25" t="inlineStr"/>
      <c r="R98" s="25" t="inlineStr"/>
    </row>
    <row r="99" ht="28" customHeight="1">
      <c r="A99" s="39" t="n">
        <v>97</v>
      </c>
      <c r="B99" s="40" t="inlineStr"/>
      <c r="C99" s="40" t="inlineStr">
        <is>
          <t>🟨 Phase 2: Depth Building</t>
        </is>
      </c>
      <c r="D99" s="40" t="inlineStr">
        <is>
          <t>Week 15</t>
        </is>
      </c>
      <c r="E99" s="41" t="inlineStr">
        <is>
          <t>DBMS Numerical: SQL Queries, ROUND(), Normalization Problems</t>
        </is>
      </c>
      <c r="F99" s="41" t="inlineStr">
        <is>
          <t>Maths Practice</t>
        </is>
      </c>
      <c r="G99" s="41" t="inlineStr">
        <is>
          <t>PRACTICE DAY</t>
        </is>
      </c>
      <c r="H99" s="42" t="inlineStr"/>
      <c r="I99" s="25" t="inlineStr"/>
      <c r="J99" s="25" t="inlineStr"/>
      <c r="K99" s="25" t="inlineStr"/>
      <c r="L99" s="25" t="inlineStr"/>
      <c r="M99" s="26">
        <f>IF(H99="✅",100,IF(H99="🔄",50,0))</f>
        <v/>
      </c>
      <c r="N99" s="25" t="inlineStr"/>
      <c r="O99" s="25" t="inlineStr"/>
      <c r="P99" s="25" t="inlineStr"/>
      <c r="Q99" s="25" t="inlineStr"/>
      <c r="R99" s="25" t="inlineStr"/>
    </row>
    <row r="100" ht="28" customHeight="1">
      <c r="A100" s="39" t="n">
        <v>98</v>
      </c>
      <c r="B100" s="40" t="inlineStr"/>
      <c r="C100" s="40" t="inlineStr">
        <is>
          <t>🟨 Phase 2: Depth Building</t>
        </is>
      </c>
      <c r="D100" s="40" t="inlineStr">
        <is>
          <t>Week 15</t>
        </is>
      </c>
      <c r="E100" s="41" t="inlineStr">
        <is>
          <t>Digital Electronics Numericals: Conversions, K-Map, De Morgan's</t>
        </is>
      </c>
      <c r="F100" s="41" t="inlineStr">
        <is>
          <t>Biology Revision</t>
        </is>
      </c>
      <c r="G100" s="41" t="inlineStr">
        <is>
          <t>PRACTICE DAY</t>
        </is>
      </c>
      <c r="H100" s="42" t="inlineStr"/>
      <c r="I100" s="25" t="inlineStr"/>
      <c r="J100" s="25" t="inlineStr"/>
      <c r="K100" s="25" t="inlineStr"/>
      <c r="L100" s="25" t="inlineStr"/>
      <c r="M100" s="26">
        <f>IF(H100="✅",100,IF(H100="🔄",50,0))</f>
        <v/>
      </c>
      <c r="N100" s="25" t="inlineStr"/>
      <c r="O100" s="25" t="inlineStr"/>
      <c r="P100" s="25" t="inlineStr"/>
      <c r="Q100" s="25" t="inlineStr"/>
      <c r="R100" s="25" t="inlineStr"/>
    </row>
    <row r="101" ht="28" customHeight="1">
      <c r="A101" s="39" t="n">
        <v>99</v>
      </c>
      <c r="B101" s="40" t="inlineStr"/>
      <c r="C101" s="40" t="inlineStr">
        <is>
          <t>🟨 Phase 2: Depth Building</t>
        </is>
      </c>
      <c r="D101" s="40" t="inlineStr">
        <is>
          <t>Week 15</t>
        </is>
      </c>
      <c r="E101" s="41" t="inlineStr">
        <is>
          <t>OS Numericals: Paging Offset, Disk Scheduling FCFS Calc</t>
        </is>
      </c>
      <c r="F101" s="41" t="inlineStr">
        <is>
          <t>Current Affairs</t>
        </is>
      </c>
      <c r="G101" s="41" t="inlineStr">
        <is>
          <t>PRACTICE DAY</t>
        </is>
      </c>
      <c r="H101" s="42" t="inlineStr"/>
      <c r="I101" s="25" t="inlineStr"/>
      <c r="J101" s="25" t="inlineStr"/>
      <c r="K101" s="25" t="inlineStr"/>
      <c r="L101" s="25" t="inlineStr"/>
      <c r="M101" s="26">
        <f>IF(H101="✅",100,IF(H101="🔄",50,0))</f>
        <v/>
      </c>
      <c r="N101" s="25" t="inlineStr"/>
      <c r="O101" s="25" t="inlineStr"/>
      <c r="P101" s="25" t="inlineStr"/>
      <c r="Q101" s="25" t="inlineStr"/>
      <c r="R101" s="25" t="inlineStr"/>
    </row>
    <row r="102" ht="28" customHeight="1">
      <c r="A102" s="47" t="n">
        <v>100</v>
      </c>
      <c r="B102" s="48" t="inlineStr"/>
      <c r="C102" s="48" t="inlineStr">
        <is>
          <t>🟨 Phase 2: Depth Building</t>
        </is>
      </c>
      <c r="D102" s="48" t="inlineStr">
        <is>
          <t>Week 15</t>
        </is>
      </c>
      <c r="E102" s="49" t="inlineStr">
        <is>
          <t>DAY 100 MILESTONE: 120-Question Full Assessment</t>
        </is>
      </c>
      <c r="F102" s="49" t="inlineStr">
        <is>
          <t>Full GS (40 questions)</t>
        </is>
      </c>
      <c r="G102" s="49" t="inlineStr">
        <is>
          <t>🎉 MILESTONE DAY</t>
        </is>
      </c>
      <c r="H102" s="50" t="inlineStr"/>
      <c r="I102" s="25" t="inlineStr"/>
      <c r="J102" s="25" t="inlineStr"/>
      <c r="K102" s="25" t="inlineStr"/>
      <c r="L102" s="25" t="inlineStr"/>
      <c r="M102" s="26">
        <f>IF(H102="✅",100,IF(H102="🔄",50,0))</f>
        <v/>
      </c>
      <c r="N102" s="25" t="inlineStr"/>
      <c r="O102" s="25" t="inlineStr"/>
      <c r="P102" s="25" t="inlineStr"/>
      <c r="Q102" s="25" t="inlineStr"/>
      <c r="R102" s="25" t="inlineStr"/>
    </row>
    <row r="103" ht="28" customHeight="1">
      <c r="A103" s="39" t="n">
        <v>101</v>
      </c>
      <c r="B103" s="40" t="inlineStr"/>
      <c r="C103" s="40" t="inlineStr">
        <is>
          <t>🟨 Phase 2: Depth Building</t>
        </is>
      </c>
      <c r="D103" s="40" t="inlineStr">
        <is>
          <t>Week 15</t>
        </is>
      </c>
      <c r="E103" s="41" t="inlineStr">
        <is>
          <t>Day 100 Analysis + Personalized Final 70-Day Plan</t>
        </is>
      </c>
      <c r="F103" s="41" t="inlineStr">
        <is>
          <t>—</t>
        </is>
      </c>
      <c r="G103" s="41" t="inlineStr">
        <is>
          <t>ANALYSIS DAY</t>
        </is>
      </c>
      <c r="H103" s="42" t="inlineStr"/>
      <c r="I103" s="25" t="inlineStr"/>
      <c r="J103" s="25" t="inlineStr"/>
      <c r="K103" s="25" t="inlineStr"/>
      <c r="L103" s="25" t="inlineStr"/>
      <c r="M103" s="26">
        <f>IF(H103="✅",100,IF(H103="🔄",50,0))</f>
        <v/>
      </c>
      <c r="N103" s="25" t="inlineStr"/>
      <c r="O103" s="25" t="inlineStr"/>
      <c r="P103" s="25" t="inlineStr"/>
      <c r="Q103" s="25" t="inlineStr"/>
      <c r="R103" s="25" t="inlineStr"/>
    </row>
    <row r="104" ht="28" customHeight="1">
      <c r="A104" s="39" t="n">
        <v>102</v>
      </c>
      <c r="B104" s="40" t="inlineStr"/>
      <c r="C104" s="40" t="inlineStr">
        <is>
          <t>🟨 Phase 2: Depth Building</t>
        </is>
      </c>
      <c r="D104" s="40" t="inlineStr">
        <is>
          <t>Week 15</t>
        </is>
      </c>
      <c r="E104" s="41" t="inlineStr">
        <is>
          <t>Light CS PYQ Revision</t>
        </is>
      </c>
      <c r="F104" s="41" t="inlineStr">
        <is>
          <t>GS Full Mock: 40 Questions (target 36+)</t>
        </is>
      </c>
      <c r="G104" s="41" t="inlineStr">
        <is>
          <t>GS MOCK TEST DAY</t>
        </is>
      </c>
      <c r="H104" s="42" t="inlineStr"/>
      <c r="I104" s="25" t="inlineStr"/>
      <c r="J104" s="25" t="inlineStr"/>
      <c r="K104" s="25" t="inlineStr"/>
      <c r="L104" s="25" t="inlineStr"/>
      <c r="M104" s="26">
        <f>IF(H104="✅",100,IF(H104="🔄",50,0))</f>
        <v/>
      </c>
      <c r="N104" s="25" t="inlineStr"/>
      <c r="O104" s="25" t="inlineStr"/>
      <c r="P104" s="25" t="inlineStr"/>
      <c r="Q104" s="25" t="inlineStr"/>
      <c r="R104" s="25" t="inlineStr"/>
    </row>
    <row r="105" ht="28" customHeight="1">
      <c r="A105" s="39" t="n">
        <v>103</v>
      </c>
      <c r="B105" s="40" t="inlineStr"/>
      <c r="C105" s="40" t="inlineStr">
        <is>
          <t>🟨 Phase 2: Depth Building</t>
        </is>
      </c>
      <c r="D105" s="40" t="inlineStr">
        <is>
          <t>Week 16</t>
        </is>
      </c>
      <c r="E105" s="41" t="inlineStr">
        <is>
          <t>Revisit All 3 PYQ Papers: Pattern Analysis (240 questions)</t>
        </is>
      </c>
      <c r="F105" s="41" t="inlineStr">
        <is>
          <t>—</t>
        </is>
      </c>
      <c r="G105" s="41" t="inlineStr">
        <is>
          <t>PATTERN ANALYSIS DAY</t>
        </is>
      </c>
      <c r="H105" s="42" t="inlineStr"/>
      <c r="I105" s="25" t="inlineStr"/>
      <c r="J105" s="25" t="inlineStr"/>
      <c r="K105" s="25" t="inlineStr"/>
      <c r="L105" s="25" t="inlineStr"/>
      <c r="M105" s="26">
        <f>IF(H105="✅",100,IF(H105="🔄",50,0))</f>
        <v/>
      </c>
      <c r="N105" s="25" t="inlineStr"/>
      <c r="O105" s="25" t="inlineStr"/>
      <c r="P105" s="25" t="inlineStr"/>
      <c r="Q105" s="25" t="inlineStr"/>
      <c r="R105" s="25" t="inlineStr"/>
    </row>
    <row r="106" ht="28" customHeight="1">
      <c r="A106" s="39" t="n">
        <v>104</v>
      </c>
      <c r="B106" s="40" t="inlineStr"/>
      <c r="C106" s="40" t="inlineStr">
        <is>
          <t>🟨 Phase 2: Depth Building</t>
        </is>
      </c>
      <c r="D106" s="40" t="inlineStr">
        <is>
          <t>Week 16</t>
        </is>
      </c>
      <c r="E106" s="41" t="inlineStr">
        <is>
          <t>PYQ Round 2: TRE 1.0 Re-attempt (Target: higher than Day 50)</t>
        </is>
      </c>
      <c r="F106" s="41" t="inlineStr">
        <is>
          <t>—</t>
        </is>
      </c>
      <c r="G106" s="41" t="inlineStr">
        <is>
          <t>PYQ ROUND 2</t>
        </is>
      </c>
      <c r="H106" s="42" t="inlineStr"/>
      <c r="I106" s="25" t="inlineStr"/>
      <c r="J106" s="25" t="inlineStr"/>
      <c r="K106" s="25" t="inlineStr"/>
      <c r="L106" s="25" t="inlineStr"/>
      <c r="M106" s="26">
        <f>IF(H106="✅",100,IF(H106="🔄",50,0))</f>
        <v/>
      </c>
      <c r="N106" s="25" t="inlineStr"/>
      <c r="O106" s="25" t="inlineStr"/>
      <c r="P106" s="25" t="inlineStr"/>
      <c r="Q106" s="25" t="inlineStr"/>
      <c r="R106" s="25" t="inlineStr"/>
    </row>
    <row r="107" ht="28" customHeight="1">
      <c r="A107" s="39" t="n">
        <v>105</v>
      </c>
      <c r="B107" s="40" t="inlineStr"/>
      <c r="C107" s="40" t="inlineStr">
        <is>
          <t>🟨 Phase 2: Depth Building</t>
        </is>
      </c>
      <c r="D107" s="40" t="inlineStr">
        <is>
          <t>Week 16</t>
        </is>
      </c>
      <c r="E107" s="41" t="inlineStr">
        <is>
          <t>PYQ Round 2: TRE 2.0 Re-attempt (Target: higher than Day 78)</t>
        </is>
      </c>
      <c r="F107" s="41" t="inlineStr">
        <is>
          <t>—</t>
        </is>
      </c>
      <c r="G107" s="41" t="inlineStr">
        <is>
          <t>PYQ ROUND 2</t>
        </is>
      </c>
      <c r="H107" s="42" t="inlineStr"/>
      <c r="I107" s="25" t="inlineStr"/>
      <c r="J107" s="25" t="inlineStr"/>
      <c r="K107" s="25" t="inlineStr"/>
      <c r="L107" s="25" t="inlineStr"/>
      <c r="M107" s="26">
        <f>IF(H107="✅",100,IF(H107="🔄",50,0))</f>
        <v/>
      </c>
      <c r="N107" s="25" t="inlineStr"/>
      <c r="O107" s="25" t="inlineStr"/>
      <c r="P107" s="25" t="inlineStr"/>
      <c r="Q107" s="25" t="inlineStr"/>
      <c r="R107" s="25" t="inlineStr"/>
    </row>
    <row r="108" ht="28" customHeight="1">
      <c r="A108" s="39" t="n">
        <v>106</v>
      </c>
      <c r="B108" s="40" t="inlineStr"/>
      <c r="C108" s="40" t="inlineStr">
        <is>
          <t>🟨 Phase 2: Depth Building</t>
        </is>
      </c>
      <c r="D108" s="40" t="inlineStr">
        <is>
          <t>Week 16</t>
        </is>
      </c>
      <c r="E108" s="41" t="inlineStr">
        <is>
          <t>PYQ Round 2: TRE 3.0 Re-attempt (Target: higher than Day 86)</t>
        </is>
      </c>
      <c r="F108" s="41" t="inlineStr">
        <is>
          <t>—</t>
        </is>
      </c>
      <c r="G108" s="41" t="inlineStr">
        <is>
          <t>PYQ ROUND 2</t>
        </is>
      </c>
      <c r="H108" s="42" t="inlineStr"/>
      <c r="I108" s="25" t="inlineStr"/>
      <c r="J108" s="25" t="inlineStr"/>
      <c r="K108" s="25" t="inlineStr"/>
      <c r="L108" s="25" t="inlineStr"/>
      <c r="M108" s="26">
        <f>IF(H108="✅",100,IF(H108="🔄",50,0))</f>
        <v/>
      </c>
      <c r="N108" s="25" t="inlineStr"/>
      <c r="O108" s="25" t="inlineStr"/>
      <c r="P108" s="25" t="inlineStr"/>
      <c r="Q108" s="25" t="inlineStr"/>
      <c r="R108" s="25" t="inlineStr"/>
    </row>
    <row r="109" ht="28" customHeight="1">
      <c r="A109" s="43" t="n">
        <v>107</v>
      </c>
      <c r="B109" s="44" t="inlineStr"/>
      <c r="C109" s="44" t="inlineStr">
        <is>
          <t>🟨 Phase 2: Depth Building</t>
        </is>
      </c>
      <c r="D109" s="44" t="inlineStr">
        <is>
          <t>Week 16</t>
        </is>
      </c>
      <c r="E109" s="45" t="inlineStr">
        <is>
          <t>MOCK TEST 3 — Full Paper (150 Questions)</t>
        </is>
      </c>
      <c r="F109" s="45" t="inlineStr">
        <is>
          <t>—</t>
        </is>
      </c>
      <c r="G109" s="45" t="inlineStr">
        <is>
          <t>MOCK TEST 3</t>
        </is>
      </c>
      <c r="H109" s="46" t="inlineStr"/>
      <c r="I109" s="25" t="inlineStr"/>
      <c r="J109" s="25" t="inlineStr"/>
      <c r="K109" s="25" t="inlineStr"/>
      <c r="L109" s="25" t="inlineStr"/>
      <c r="M109" s="26">
        <f>IF(H109="✅",100,IF(H109="🔄",50,0))</f>
        <v/>
      </c>
      <c r="N109" s="25" t="inlineStr"/>
      <c r="O109" s="25" t="inlineStr"/>
      <c r="P109" s="25" t="inlineStr"/>
      <c r="Q109" s="25" t="inlineStr"/>
      <c r="R109" s="25" t="inlineStr"/>
    </row>
    <row r="110" ht="28" customHeight="1">
      <c r="A110" s="39" t="n">
        <v>108</v>
      </c>
      <c r="B110" s="40" t="inlineStr"/>
      <c r="C110" s="40" t="inlineStr">
        <is>
          <t>🟨 Phase 2: Depth Building</t>
        </is>
      </c>
      <c r="D110" s="40" t="inlineStr">
        <is>
          <t>Week 16</t>
        </is>
      </c>
      <c r="E110" s="41" t="inlineStr">
        <is>
          <t>Mock Test 3 Analysis — Compare progress since Day 60</t>
        </is>
      </c>
      <c r="F110" s="41" t="inlineStr">
        <is>
          <t>—</t>
        </is>
      </c>
      <c r="G110" s="41" t="inlineStr">
        <is>
          <t>ANALYSIS DAY</t>
        </is>
      </c>
      <c r="H110" s="42" t="inlineStr"/>
      <c r="I110" s="25" t="inlineStr"/>
      <c r="J110" s="25" t="inlineStr"/>
      <c r="K110" s="25" t="inlineStr"/>
      <c r="L110" s="25" t="inlineStr"/>
      <c r="M110" s="26">
        <f>IF(H110="✅",100,IF(H110="🔄",50,0))</f>
        <v/>
      </c>
      <c r="N110" s="25" t="inlineStr"/>
      <c r="O110" s="25" t="inlineStr"/>
      <c r="P110" s="25" t="inlineStr"/>
      <c r="Q110" s="25" t="inlineStr"/>
      <c r="R110" s="25" t="inlineStr"/>
    </row>
    <row r="111" ht="28" customHeight="1">
      <c r="A111" s="39" t="n">
        <v>109</v>
      </c>
      <c r="B111" s="40" t="inlineStr"/>
      <c r="C111" s="40" t="inlineStr">
        <is>
          <t>🟨 Phase 2: Depth Building</t>
        </is>
      </c>
      <c r="D111" s="40" t="inlineStr">
        <is>
          <t>Week 16</t>
        </is>
      </c>
      <c r="E111" s="41" t="inlineStr">
        <is>
          <t>Mastery Test: TOP 25 PYQ Topics — 1 question per topic</t>
        </is>
      </c>
      <c r="F111" s="41" t="inlineStr">
        <is>
          <t>—</t>
        </is>
      </c>
      <c r="G111" s="41" t="inlineStr">
        <is>
          <t>TOP 25 MASTERY TEST</t>
        </is>
      </c>
      <c r="H111" s="42" t="inlineStr"/>
      <c r="I111" s="25" t="inlineStr"/>
      <c r="J111" s="25" t="inlineStr"/>
      <c r="K111" s="25" t="inlineStr"/>
      <c r="L111" s="25" t="inlineStr"/>
      <c r="M111" s="26">
        <f>IF(H111="✅",100,IF(H111="🔄",50,0))</f>
        <v/>
      </c>
      <c r="N111" s="25" t="inlineStr"/>
      <c r="O111" s="25" t="inlineStr"/>
      <c r="P111" s="25" t="inlineStr"/>
      <c r="Q111" s="25" t="inlineStr"/>
      <c r="R111" s="25" t="inlineStr"/>
    </row>
    <row r="112" ht="28" customHeight="1">
      <c r="A112" s="39" t="n">
        <v>110</v>
      </c>
      <c r="B112" s="40" t="inlineStr"/>
      <c r="C112" s="40" t="inlineStr">
        <is>
          <t>🟨 Phase 2: Depth Building</t>
        </is>
      </c>
      <c r="D112" s="40" t="inlineStr">
        <is>
          <t>Week 16</t>
        </is>
      </c>
      <c r="E112" s="41" t="inlineStr">
        <is>
          <t>Light CS revision</t>
        </is>
      </c>
      <c r="F112" s="41" t="inlineStr">
        <is>
          <t>Bihar-Specific GS: 8.58%, Rohtas, Bhagalpur, JP Narayan</t>
        </is>
      </c>
      <c r="G112" s="41" t="inlineStr">
        <is>
          <t>BIHAR GK DEEP DIVE</t>
        </is>
      </c>
      <c r="H112" s="42" t="inlineStr"/>
      <c r="I112" s="25" t="inlineStr"/>
      <c r="J112" s="25" t="inlineStr"/>
      <c r="K112" s="25" t="inlineStr"/>
      <c r="L112" s="25" t="inlineStr"/>
      <c r="M112" s="26">
        <f>IF(H112="✅",100,IF(H112="🔄",50,0))</f>
        <v/>
      </c>
      <c r="N112" s="25" t="inlineStr"/>
      <c r="O112" s="25" t="inlineStr"/>
      <c r="P112" s="25" t="inlineStr"/>
      <c r="Q112" s="25" t="inlineStr"/>
      <c r="R112" s="25" t="inlineStr"/>
    </row>
    <row r="113" ht="28" customHeight="1">
      <c r="A113" s="43" t="n">
        <v>111</v>
      </c>
      <c r="B113" s="44" t="inlineStr"/>
      <c r="C113" s="44" t="inlineStr">
        <is>
          <t>🟩 Phase 3: Practice</t>
        </is>
      </c>
      <c r="D113" s="44" t="inlineStr">
        <is>
          <t>Week 17</t>
        </is>
      </c>
      <c r="E113" s="45" t="inlineStr">
        <is>
          <t>MOCK TEST 4 — Fresh 150-Question Paper</t>
        </is>
      </c>
      <c r="F113" s="45" t="inlineStr">
        <is>
          <t>—</t>
        </is>
      </c>
      <c r="G113" s="45" t="inlineStr">
        <is>
          <t>MOCK TEST 4</t>
        </is>
      </c>
      <c r="H113" s="46" t="inlineStr"/>
      <c r="I113" s="25" t="inlineStr"/>
      <c r="J113" s="25" t="inlineStr"/>
      <c r="K113" s="25" t="inlineStr"/>
      <c r="L113" s="25" t="inlineStr"/>
      <c r="M113" s="26">
        <f>IF(H113="✅",100,IF(H113="🔄",50,0))</f>
        <v/>
      </c>
      <c r="N113" s="25" t="inlineStr"/>
      <c r="O113" s="25" t="inlineStr"/>
      <c r="P113" s="25" t="inlineStr"/>
      <c r="Q113" s="25" t="inlineStr"/>
      <c r="R113" s="25" t="inlineStr"/>
    </row>
    <row r="114" ht="28" customHeight="1">
      <c r="A114" s="51" t="n">
        <v>112</v>
      </c>
      <c r="B114" s="52" t="inlineStr"/>
      <c r="C114" s="52" t="inlineStr">
        <is>
          <t>🟩 Phase 3: Practice</t>
        </is>
      </c>
      <c r="D114" s="52" t="inlineStr">
        <is>
          <t>Week 17</t>
        </is>
      </c>
      <c r="E114" s="53" t="inlineStr">
        <is>
          <t>Weak Topic Sprint — Targeted 1-Hour Session</t>
        </is>
      </c>
      <c r="F114" s="53" t="inlineStr">
        <is>
          <t>—</t>
        </is>
      </c>
      <c r="G114" s="53" t="inlineStr">
        <is>
          <t>WEAK TOPIC FIX</t>
        </is>
      </c>
      <c r="H114" s="54" t="inlineStr"/>
      <c r="I114" s="25" t="inlineStr"/>
      <c r="J114" s="25" t="inlineStr"/>
      <c r="K114" s="25" t="inlineStr"/>
      <c r="L114" s="25" t="inlineStr"/>
      <c r="M114" s="26">
        <f>IF(H114="✅",100,IF(H114="🔄",50,0))</f>
        <v/>
      </c>
      <c r="N114" s="25" t="inlineStr"/>
      <c r="O114" s="25" t="inlineStr"/>
      <c r="P114" s="25" t="inlineStr"/>
      <c r="Q114" s="25" t="inlineStr"/>
      <c r="R114" s="25" t="inlineStr"/>
    </row>
    <row r="115" ht="28" customHeight="1">
      <c r="A115" s="43" t="n">
        <v>113</v>
      </c>
      <c r="B115" s="44" t="inlineStr"/>
      <c r="C115" s="44" t="inlineStr">
        <is>
          <t>🟩 Phase 3: Practice</t>
        </is>
      </c>
      <c r="D115" s="44" t="inlineStr">
        <is>
          <t>Week 17</t>
        </is>
      </c>
      <c r="E115" s="45" t="inlineStr">
        <is>
          <t>MOCK TEST 5 — Fresh 150-Question Paper</t>
        </is>
      </c>
      <c r="F115" s="45" t="inlineStr">
        <is>
          <t>—</t>
        </is>
      </c>
      <c r="G115" s="45" t="inlineStr">
        <is>
          <t>MOCK TEST 5</t>
        </is>
      </c>
      <c r="H115" s="46" t="inlineStr"/>
      <c r="I115" s="25" t="inlineStr"/>
      <c r="J115" s="25" t="inlineStr"/>
      <c r="K115" s="25" t="inlineStr"/>
      <c r="L115" s="25" t="inlineStr"/>
      <c r="M115" s="26">
        <f>IF(H115="✅",100,IF(H115="🔄",50,0))</f>
        <v/>
      </c>
      <c r="N115" s="25" t="inlineStr"/>
      <c r="O115" s="25" t="inlineStr"/>
      <c r="P115" s="25" t="inlineStr"/>
      <c r="Q115" s="25" t="inlineStr"/>
      <c r="R115" s="25" t="inlineStr"/>
    </row>
    <row r="116" ht="28" customHeight="1">
      <c r="A116" s="51" t="n">
        <v>114</v>
      </c>
      <c r="B116" s="52" t="inlineStr"/>
      <c r="C116" s="52" t="inlineStr">
        <is>
          <t>🟩 Phase 3: Practice</t>
        </is>
      </c>
      <c r="D116" s="52" t="inlineStr">
        <is>
          <t>Week 17</t>
        </is>
      </c>
      <c r="E116" s="53" t="inlineStr">
        <is>
          <t>Formula Sheet Creation: All CS Numerical Formulas</t>
        </is>
      </c>
      <c r="F116" s="53" t="inlineStr">
        <is>
          <t>—</t>
        </is>
      </c>
      <c r="G116" s="53" t="inlineStr">
        <is>
          <t>FORMULA SHEET DAY</t>
        </is>
      </c>
      <c r="H116" s="54" t="inlineStr"/>
      <c r="I116" s="25" t="inlineStr"/>
      <c r="J116" s="25" t="inlineStr"/>
      <c r="K116" s="25" t="inlineStr"/>
      <c r="L116" s="25" t="inlineStr"/>
      <c r="M116" s="26">
        <f>IF(H116="✅",100,IF(H116="🔄",50,0))</f>
        <v/>
      </c>
      <c r="N116" s="25" t="inlineStr"/>
      <c r="O116" s="25" t="inlineStr"/>
      <c r="P116" s="25" t="inlineStr"/>
      <c r="Q116" s="25" t="inlineStr"/>
      <c r="R116" s="25" t="inlineStr"/>
    </row>
    <row r="117" ht="28" customHeight="1">
      <c r="A117" s="43" t="n">
        <v>115</v>
      </c>
      <c r="B117" s="44" t="inlineStr"/>
      <c r="C117" s="44" t="inlineStr">
        <is>
          <t>🟩 Phase 3: Practice</t>
        </is>
      </c>
      <c r="D117" s="44" t="inlineStr">
        <is>
          <t>Week 17</t>
        </is>
      </c>
      <c r="E117" s="45" t="inlineStr">
        <is>
          <t>MOCK TEST 6 — Full Paper with Timing Simulation</t>
        </is>
      </c>
      <c r="F117" s="45" t="inlineStr">
        <is>
          <t>—</t>
        </is>
      </c>
      <c r="G117" s="45" t="inlineStr">
        <is>
          <t>MOCK TEST 6</t>
        </is>
      </c>
      <c r="H117" s="46" t="inlineStr"/>
      <c r="I117" s="25" t="inlineStr"/>
      <c r="J117" s="25" t="inlineStr"/>
      <c r="K117" s="25" t="inlineStr"/>
      <c r="L117" s="25" t="inlineStr"/>
      <c r="M117" s="26">
        <f>IF(H117="✅",100,IF(H117="🔄",50,0))</f>
        <v/>
      </c>
      <c r="N117" s="25" t="inlineStr"/>
      <c r="O117" s="25" t="inlineStr"/>
      <c r="P117" s="25" t="inlineStr"/>
      <c r="Q117" s="25" t="inlineStr"/>
      <c r="R117" s="25" t="inlineStr"/>
    </row>
    <row r="118" ht="28" customHeight="1">
      <c r="A118" s="51" t="n">
        <v>116</v>
      </c>
      <c r="B118" s="52" t="inlineStr"/>
      <c r="C118" s="52" t="inlineStr">
        <is>
          <t>🟩 Phase 3: Practice</t>
        </is>
      </c>
      <c r="D118" s="52" t="inlineStr">
        <is>
          <t>Week 17</t>
        </is>
      </c>
      <c r="E118" s="53" t="inlineStr">
        <is>
          <t>Language Section Marathon: 30 Hindi + 30 English Questions</t>
        </is>
      </c>
      <c r="F118" s="53" t="inlineStr">
        <is>
          <t>—</t>
        </is>
      </c>
      <c r="G118" s="53" t="inlineStr">
        <is>
          <t>LANGUAGE MARATHON</t>
        </is>
      </c>
      <c r="H118" s="54" t="inlineStr"/>
      <c r="I118" s="25" t="inlineStr"/>
      <c r="J118" s="25" t="inlineStr"/>
      <c r="K118" s="25" t="inlineStr"/>
      <c r="L118" s="25" t="inlineStr"/>
      <c r="M118" s="26">
        <f>IF(H118="✅",100,IF(H118="🔄",50,0))</f>
        <v/>
      </c>
      <c r="N118" s="25" t="inlineStr"/>
      <c r="O118" s="25" t="inlineStr"/>
      <c r="P118" s="25" t="inlineStr"/>
      <c r="Q118" s="25" t="inlineStr"/>
      <c r="R118" s="25" t="inlineStr"/>
    </row>
    <row r="119" ht="28" customHeight="1">
      <c r="A119" s="51" t="n">
        <v>117</v>
      </c>
      <c r="B119" s="52" t="inlineStr"/>
      <c r="C119" s="52" t="inlineStr">
        <is>
          <t>🟩 Phase 3: Practice</t>
        </is>
      </c>
      <c r="D119" s="52" t="inlineStr">
        <is>
          <t>Week 17</t>
        </is>
      </c>
      <c r="E119" s="53" t="inlineStr">
        <is>
          <t>Review Performance Across Mock Tests 4, 5, 6</t>
        </is>
      </c>
      <c r="F119" s="53" t="inlineStr">
        <is>
          <t>—</t>
        </is>
      </c>
      <c r="G119" s="53" t="inlineStr">
        <is>
          <t>ANALYSIS DAY</t>
        </is>
      </c>
      <c r="H119" s="54" t="inlineStr"/>
      <c r="I119" s="25" t="inlineStr"/>
      <c r="J119" s="25" t="inlineStr"/>
      <c r="K119" s="25" t="inlineStr"/>
      <c r="L119" s="25" t="inlineStr"/>
      <c r="M119" s="26">
        <f>IF(H119="✅",100,IF(H119="🔄",50,0))</f>
        <v/>
      </c>
      <c r="N119" s="25" t="inlineStr"/>
      <c r="O119" s="25" t="inlineStr"/>
      <c r="P119" s="25" t="inlineStr"/>
      <c r="Q119" s="25" t="inlineStr"/>
      <c r="R119" s="25" t="inlineStr"/>
    </row>
    <row r="120" ht="28" customHeight="1">
      <c r="A120" s="51" t="n">
        <v>118</v>
      </c>
      <c r="B120" s="52" t="inlineStr"/>
      <c r="C120" s="52" t="inlineStr">
        <is>
          <t>🟩 Phase 3: Practice</t>
        </is>
      </c>
      <c r="D120" s="52" t="inlineStr">
        <is>
          <t>Week 18</t>
        </is>
      </c>
      <c r="E120" s="53" t="inlineStr">
        <is>
          <t>OOP Final Mastery Test: 40 Questions</t>
        </is>
      </c>
      <c r="F120" s="53" t="inlineStr">
        <is>
          <t>—</t>
        </is>
      </c>
      <c r="G120" s="53" t="inlineStr">
        <is>
          <t>TOPIC MASTERY TEST</t>
        </is>
      </c>
      <c r="H120" s="54" t="inlineStr"/>
      <c r="I120" s="25" t="inlineStr"/>
      <c r="J120" s="25" t="inlineStr"/>
      <c r="K120" s="25" t="inlineStr"/>
      <c r="L120" s="25" t="inlineStr"/>
      <c r="M120" s="26">
        <f>IF(H120="✅",100,IF(H120="🔄",50,0))</f>
        <v/>
      </c>
      <c r="N120" s="25" t="inlineStr"/>
      <c r="O120" s="25" t="inlineStr"/>
      <c r="P120" s="25" t="inlineStr"/>
      <c r="Q120" s="25" t="inlineStr"/>
      <c r="R120" s="25" t="inlineStr"/>
    </row>
    <row r="121" ht="28" customHeight="1">
      <c r="A121" s="51" t="n">
        <v>119</v>
      </c>
      <c r="B121" s="52" t="inlineStr"/>
      <c r="C121" s="52" t="inlineStr">
        <is>
          <t>🟩 Phase 3: Practice</t>
        </is>
      </c>
      <c r="D121" s="52" t="inlineStr">
        <is>
          <t>Week 18</t>
        </is>
      </c>
      <c r="E121" s="53" t="inlineStr">
        <is>
          <t>DSA Final Mastery Test: 40 Questions</t>
        </is>
      </c>
      <c r="F121" s="53" t="inlineStr">
        <is>
          <t>—</t>
        </is>
      </c>
      <c r="G121" s="53" t="inlineStr">
        <is>
          <t>TOPIC MASTERY TEST</t>
        </is>
      </c>
      <c r="H121" s="54" t="inlineStr"/>
      <c r="I121" s="25" t="inlineStr"/>
      <c r="J121" s="25" t="inlineStr"/>
      <c r="K121" s="25" t="inlineStr"/>
      <c r="L121" s="25" t="inlineStr"/>
      <c r="M121" s="26">
        <f>IF(H121="✅",100,IF(H121="🔄",50,0))</f>
        <v/>
      </c>
      <c r="N121" s="25" t="inlineStr"/>
      <c r="O121" s="25" t="inlineStr"/>
      <c r="P121" s="25" t="inlineStr"/>
      <c r="Q121" s="25" t="inlineStr"/>
      <c r="R121" s="25" t="inlineStr"/>
    </row>
    <row r="122" ht="28" customHeight="1">
      <c r="A122" s="35" t="n">
        <v>120</v>
      </c>
      <c r="B122" s="36" t="inlineStr"/>
      <c r="C122" s="36" t="inlineStr">
        <is>
          <t>🟩 Phase 3: Practice</t>
        </is>
      </c>
      <c r="D122" s="36" t="inlineStr">
        <is>
          <t>Week 18</t>
        </is>
      </c>
      <c r="E122" s="37" t="inlineStr">
        <is>
          <t>DBMS + Networks Final Mastery Test: 40 Questions</t>
        </is>
      </c>
      <c r="F122" s="37" t="inlineStr">
        <is>
          <t>—</t>
        </is>
      </c>
      <c r="G122" s="37" t="inlineStr">
        <is>
          <t>TOPIC MASTERY TEST</t>
        </is>
      </c>
      <c r="H122" s="38" t="inlineStr"/>
      <c r="I122" s="25" t="inlineStr"/>
      <c r="J122" s="25" t="inlineStr"/>
      <c r="K122" s="25" t="inlineStr"/>
      <c r="L122" s="25" t="inlineStr"/>
      <c r="M122" s="26">
        <f>IF(H122="✅",100,IF(H122="🔄",50,0))</f>
        <v/>
      </c>
      <c r="N122" s="25" t="inlineStr"/>
      <c r="O122" s="25" t="inlineStr"/>
      <c r="P122" s="25" t="inlineStr"/>
      <c r="Q122" s="25" t="inlineStr"/>
      <c r="R122" s="25" t="inlineStr"/>
    </row>
    <row r="123" ht="28" customHeight="1">
      <c r="A123" s="51" t="n">
        <v>121</v>
      </c>
      <c r="B123" s="52" t="inlineStr"/>
      <c r="C123" s="52" t="inlineStr">
        <is>
          <t>🟩 Phase 3: Practice</t>
        </is>
      </c>
      <c r="D123" s="52" t="inlineStr">
        <is>
          <t>Week 18</t>
        </is>
      </c>
      <c r="E123" s="53" t="inlineStr">
        <is>
          <t>Digital Electronics Final Mastery Test: 30 Questions</t>
        </is>
      </c>
      <c r="F123" s="53" t="inlineStr">
        <is>
          <t>—</t>
        </is>
      </c>
      <c r="G123" s="53" t="inlineStr">
        <is>
          <t>TOPIC MASTERY TEST</t>
        </is>
      </c>
      <c r="H123" s="54" t="inlineStr"/>
      <c r="I123" s="25" t="inlineStr"/>
      <c r="J123" s="25" t="inlineStr"/>
      <c r="K123" s="25" t="inlineStr"/>
      <c r="L123" s="25" t="inlineStr"/>
      <c r="M123" s="26">
        <f>IF(H123="✅",100,IF(H123="🔄",50,0))</f>
        <v/>
      </c>
      <c r="N123" s="25" t="inlineStr"/>
      <c r="O123" s="25" t="inlineStr"/>
      <c r="P123" s="25" t="inlineStr"/>
      <c r="Q123" s="25" t="inlineStr"/>
      <c r="R123" s="25" t="inlineStr"/>
    </row>
    <row r="124" ht="28" customHeight="1">
      <c r="A124" s="51" t="n">
        <v>122</v>
      </c>
      <c r="B124" s="52" t="inlineStr"/>
      <c r="C124" s="52" t="inlineStr">
        <is>
          <t>🟩 Phase 3: Practice</t>
        </is>
      </c>
      <c r="D124" s="52" t="inlineStr">
        <is>
          <t>Week 18</t>
        </is>
      </c>
      <c r="E124" s="53" t="inlineStr">
        <is>
          <t>OS + Architecture Final Mastery Test: 35 Questions</t>
        </is>
      </c>
      <c r="F124" s="53" t="inlineStr">
        <is>
          <t>—</t>
        </is>
      </c>
      <c r="G124" s="53" t="inlineStr">
        <is>
          <t>TOPIC MASTERY TEST</t>
        </is>
      </c>
      <c r="H124" s="54" t="inlineStr"/>
      <c r="I124" s="25" t="inlineStr"/>
      <c r="J124" s="25" t="inlineStr"/>
      <c r="K124" s="25" t="inlineStr"/>
      <c r="L124" s="25" t="inlineStr"/>
      <c r="M124" s="26">
        <f>IF(H124="✅",100,IF(H124="🔄",50,0))</f>
        <v/>
      </c>
      <c r="N124" s="25" t="inlineStr"/>
      <c r="O124" s="25" t="inlineStr"/>
      <c r="P124" s="25" t="inlineStr"/>
      <c r="Q124" s="25" t="inlineStr"/>
      <c r="R124" s="25" t="inlineStr"/>
    </row>
    <row r="125" ht="28" customHeight="1">
      <c r="A125" s="43" t="n">
        <v>123</v>
      </c>
      <c r="B125" s="44" t="inlineStr"/>
      <c r="C125" s="44" t="inlineStr">
        <is>
          <t>🟩 Phase 3: Practice</t>
        </is>
      </c>
      <c r="D125" s="44" t="inlineStr">
        <is>
          <t>Week 18</t>
        </is>
      </c>
      <c r="E125" s="45" t="inlineStr">
        <is>
          <t>MOCK TEST 7 — Full Paper (Target: 130+)</t>
        </is>
      </c>
      <c r="F125" s="45" t="inlineStr">
        <is>
          <t>—</t>
        </is>
      </c>
      <c r="G125" s="45" t="inlineStr">
        <is>
          <t>MOCK TEST 7</t>
        </is>
      </c>
      <c r="H125" s="46" t="inlineStr"/>
      <c r="I125" s="25" t="inlineStr"/>
      <c r="J125" s="25" t="inlineStr"/>
      <c r="K125" s="25" t="inlineStr"/>
      <c r="L125" s="25" t="inlineStr"/>
      <c r="M125" s="26">
        <f>IF(H125="✅",100,IF(H125="🔄",50,0))</f>
        <v/>
      </c>
      <c r="N125" s="25" t="inlineStr"/>
      <c r="O125" s="25" t="inlineStr"/>
      <c r="P125" s="25" t="inlineStr"/>
      <c r="Q125" s="25" t="inlineStr"/>
      <c r="R125" s="25" t="inlineStr"/>
    </row>
    <row r="126" ht="28" customHeight="1">
      <c r="A126" s="51" t="n">
        <v>124</v>
      </c>
      <c r="B126" s="52" t="inlineStr"/>
      <c r="C126" s="52" t="inlineStr">
        <is>
          <t>🟩 Phase 3: Practice</t>
        </is>
      </c>
      <c r="D126" s="52" t="inlineStr">
        <is>
          <t>Week 18</t>
        </is>
      </c>
      <c r="E126" s="53" t="inlineStr">
        <is>
          <t>Mock Test 7 Analysis + Finalize Exam Strategy</t>
        </is>
      </c>
      <c r="F126" s="53" t="inlineStr">
        <is>
          <t>—</t>
        </is>
      </c>
      <c r="G126" s="53" t="inlineStr">
        <is>
          <t>ANALYSIS DAY</t>
        </is>
      </c>
      <c r="H126" s="54" t="inlineStr"/>
      <c r="I126" s="25" t="inlineStr"/>
      <c r="J126" s="25" t="inlineStr"/>
      <c r="K126" s="25" t="inlineStr"/>
      <c r="L126" s="25" t="inlineStr"/>
      <c r="M126" s="26">
        <f>IF(H126="✅",100,IF(H126="🔄",50,0))</f>
        <v/>
      </c>
      <c r="N126" s="25" t="inlineStr"/>
      <c r="O126" s="25" t="inlineStr"/>
      <c r="P126" s="25" t="inlineStr"/>
      <c r="Q126" s="25" t="inlineStr"/>
      <c r="R126" s="25" t="inlineStr"/>
    </row>
    <row r="127" ht="28" customHeight="1">
      <c r="A127" s="51" t="n">
        <v>125</v>
      </c>
      <c r="B127" s="52" t="inlineStr"/>
      <c r="C127" s="52" t="inlineStr">
        <is>
          <t>🟩 Phase 3: Practice</t>
        </is>
      </c>
      <c r="D127" s="52" t="inlineStr">
        <is>
          <t>Week 19</t>
        </is>
      </c>
      <c r="E127" s="53" t="inlineStr">
        <is>
          <t>Speed Practice: 80 CS Questions in 80 Minutes</t>
        </is>
      </c>
      <c r="F127" s="53" t="inlineStr">
        <is>
          <t>—</t>
        </is>
      </c>
      <c r="G127" s="53" t="inlineStr">
        <is>
          <t>SPEED TRAINING</t>
        </is>
      </c>
      <c r="H127" s="54" t="inlineStr"/>
      <c r="I127" s="25" t="inlineStr"/>
      <c r="J127" s="25" t="inlineStr"/>
      <c r="K127" s="25" t="inlineStr"/>
      <c r="L127" s="25" t="inlineStr"/>
      <c r="M127" s="26">
        <f>IF(H127="✅",100,IF(H127="🔄",50,0))</f>
        <v/>
      </c>
      <c r="N127" s="25" t="inlineStr"/>
      <c r="O127" s="25" t="inlineStr"/>
      <c r="P127" s="25" t="inlineStr"/>
      <c r="Q127" s="25" t="inlineStr"/>
      <c r="R127" s="25" t="inlineStr"/>
    </row>
    <row r="128" ht="28" customHeight="1">
      <c r="A128" s="51" t="n">
        <v>126</v>
      </c>
      <c r="B128" s="52" t="inlineStr"/>
      <c r="C128" s="52" t="inlineStr">
        <is>
          <t>🟩 Phase 3: Practice</t>
        </is>
      </c>
      <c r="D128" s="52" t="inlineStr">
        <is>
          <t>Week 19</t>
        </is>
      </c>
      <c r="E128" s="53" t="inlineStr">
        <is>
          <t>Option D/E Mastery: 'More than one' &amp; 'None of above' Patterns</t>
        </is>
      </c>
      <c r="F128" s="53" t="inlineStr">
        <is>
          <t>—</t>
        </is>
      </c>
      <c r="G128" s="53" t="inlineStr">
        <is>
          <t>STRATEGY DAY — 20-25% answers are D/E</t>
        </is>
      </c>
      <c r="H128" s="54" t="inlineStr"/>
      <c r="I128" s="25" t="inlineStr"/>
      <c r="J128" s="25" t="inlineStr"/>
      <c r="K128" s="25" t="inlineStr"/>
      <c r="L128" s="25" t="inlineStr"/>
      <c r="M128" s="26">
        <f>IF(H128="✅",100,IF(H128="🔄",50,0))</f>
        <v/>
      </c>
      <c r="N128" s="25" t="inlineStr"/>
      <c r="O128" s="25" t="inlineStr"/>
      <c r="P128" s="25" t="inlineStr"/>
      <c r="Q128" s="25" t="inlineStr"/>
      <c r="R128" s="25" t="inlineStr"/>
    </row>
    <row r="129" ht="28" customHeight="1">
      <c r="A129" s="43" t="n">
        <v>127</v>
      </c>
      <c r="B129" s="44" t="inlineStr"/>
      <c r="C129" s="44" t="inlineStr">
        <is>
          <t>🟩 Phase 3: Practice</t>
        </is>
      </c>
      <c r="D129" s="44" t="inlineStr">
        <is>
          <t>Week 19</t>
        </is>
      </c>
      <c r="E129" s="45" t="inlineStr">
        <is>
          <t>MOCK TEST 8 — Full 150-Question Paper</t>
        </is>
      </c>
      <c r="F129" s="45" t="inlineStr">
        <is>
          <t>—</t>
        </is>
      </c>
      <c r="G129" s="45" t="inlineStr">
        <is>
          <t>MOCK TEST 8</t>
        </is>
      </c>
      <c r="H129" s="46" t="inlineStr"/>
      <c r="I129" s="25" t="inlineStr"/>
      <c r="J129" s="25" t="inlineStr"/>
      <c r="K129" s="25" t="inlineStr"/>
      <c r="L129" s="25" t="inlineStr"/>
      <c r="M129" s="26">
        <f>IF(H129="✅",100,IF(H129="🔄",50,0))</f>
        <v/>
      </c>
      <c r="N129" s="25" t="inlineStr"/>
      <c r="O129" s="25" t="inlineStr"/>
      <c r="P129" s="25" t="inlineStr"/>
      <c r="Q129" s="25" t="inlineStr"/>
      <c r="R129" s="25" t="inlineStr"/>
    </row>
    <row r="130" ht="28" customHeight="1">
      <c r="A130" s="51" t="n">
        <v>128</v>
      </c>
      <c r="B130" s="52" t="inlineStr"/>
      <c r="C130" s="52" t="inlineStr">
        <is>
          <t>🟩 Phase 3: Practice</t>
        </is>
      </c>
      <c r="D130" s="52" t="inlineStr">
        <is>
          <t>Week 19</t>
        </is>
      </c>
      <c r="E130" s="53" t="inlineStr">
        <is>
          <t>Elimination Strategy: Practice 20 Tricky Trap Questions</t>
        </is>
      </c>
      <c r="F130" s="53" t="inlineStr">
        <is>
          <t>—</t>
        </is>
      </c>
      <c r="G130" s="53" t="inlineStr">
        <is>
          <t>STRATEGY DAY</t>
        </is>
      </c>
      <c r="H130" s="54" t="inlineStr"/>
      <c r="I130" s="25" t="inlineStr"/>
      <c r="J130" s="25" t="inlineStr"/>
      <c r="K130" s="25" t="inlineStr"/>
      <c r="L130" s="25" t="inlineStr"/>
      <c r="M130" s="26">
        <f>IF(H130="✅",100,IF(H130="🔄",50,0))</f>
        <v/>
      </c>
      <c r="N130" s="25" t="inlineStr"/>
      <c r="O130" s="25" t="inlineStr"/>
      <c r="P130" s="25" t="inlineStr"/>
      <c r="Q130" s="25" t="inlineStr"/>
      <c r="R130" s="25" t="inlineStr"/>
    </row>
    <row r="131" ht="28" customHeight="1">
      <c r="A131" s="51" t="n">
        <v>129</v>
      </c>
      <c r="B131" s="52" t="inlineStr"/>
      <c r="C131" s="52" t="inlineStr">
        <is>
          <t>🟩 Phase 3: Practice</t>
        </is>
      </c>
      <c r="D131" s="52" t="inlineStr">
        <is>
          <t>Week 19</t>
        </is>
      </c>
      <c r="E131" s="53" t="inlineStr">
        <is>
          <t>GS 38/40 Target Practice: 40 GS Questions</t>
        </is>
      </c>
      <c r="F131" s="53" t="inlineStr">
        <is>
          <t>—</t>
        </is>
      </c>
      <c r="G131" s="53" t="inlineStr">
        <is>
          <t>GS PERFECTION DAY</t>
        </is>
      </c>
      <c r="H131" s="54" t="inlineStr"/>
      <c r="I131" s="25" t="inlineStr"/>
      <c r="J131" s="25" t="inlineStr"/>
      <c r="K131" s="25" t="inlineStr"/>
      <c r="L131" s="25" t="inlineStr"/>
      <c r="M131" s="26">
        <f>IF(H131="✅",100,IF(H131="🔄",50,0))</f>
        <v/>
      </c>
      <c r="N131" s="25" t="inlineStr"/>
      <c r="O131" s="25" t="inlineStr"/>
      <c r="P131" s="25" t="inlineStr"/>
      <c r="Q131" s="25" t="inlineStr"/>
      <c r="R131" s="25" t="inlineStr"/>
    </row>
    <row r="132" ht="28" customHeight="1">
      <c r="A132" s="43" t="n">
        <v>130</v>
      </c>
      <c r="B132" s="44" t="inlineStr"/>
      <c r="C132" s="44" t="inlineStr">
        <is>
          <t>🟩 Phase 3: Practice</t>
        </is>
      </c>
      <c r="D132" s="44" t="inlineStr">
        <is>
          <t>Week 19</t>
        </is>
      </c>
      <c r="E132" s="45" t="inlineStr">
        <is>
          <t>MOCK TEST 9 — Full Paper</t>
        </is>
      </c>
      <c r="F132" s="45" t="inlineStr">
        <is>
          <t>—</t>
        </is>
      </c>
      <c r="G132" s="45" t="inlineStr">
        <is>
          <t>MOCK TEST 9</t>
        </is>
      </c>
      <c r="H132" s="46" t="inlineStr"/>
      <c r="I132" s="25" t="inlineStr"/>
      <c r="J132" s="25" t="inlineStr"/>
      <c r="K132" s="25" t="inlineStr"/>
      <c r="L132" s="25" t="inlineStr"/>
      <c r="M132" s="26">
        <f>IF(H132="✅",100,IF(H132="🔄",50,0))</f>
        <v/>
      </c>
      <c r="N132" s="25" t="inlineStr"/>
      <c r="O132" s="25" t="inlineStr"/>
      <c r="P132" s="25" t="inlineStr"/>
      <c r="Q132" s="25" t="inlineStr"/>
      <c r="R132" s="25" t="inlineStr"/>
    </row>
    <row r="133" ht="28" customHeight="1">
      <c r="A133" s="51" t="n">
        <v>131</v>
      </c>
      <c r="B133" s="52" t="inlineStr"/>
      <c r="C133" s="52" t="inlineStr">
        <is>
          <t>🟩 Phase 3: Practice</t>
        </is>
      </c>
      <c r="D133" s="52" t="inlineStr">
        <is>
          <t>Week 19</t>
        </is>
      </c>
      <c r="E133" s="53" t="inlineStr">
        <is>
          <t>Mock Test 9 Analysis + Expected Score Projection</t>
        </is>
      </c>
      <c r="F133" s="53" t="inlineStr">
        <is>
          <t>—</t>
        </is>
      </c>
      <c r="G133" s="53" t="inlineStr">
        <is>
          <t>ANALYSIS + PROJECTION</t>
        </is>
      </c>
      <c r="H133" s="54" t="inlineStr"/>
      <c r="I133" s="25" t="inlineStr"/>
      <c r="J133" s="25" t="inlineStr"/>
      <c r="K133" s="25" t="inlineStr"/>
      <c r="L133" s="25" t="inlineStr"/>
      <c r="M133" s="26">
        <f>IF(H133="✅",100,IF(H133="🔄",50,0))</f>
        <v/>
      </c>
      <c r="N133" s="25" t="inlineStr"/>
      <c r="O133" s="25" t="inlineStr"/>
      <c r="P133" s="25" t="inlineStr"/>
      <c r="Q133" s="25" t="inlineStr"/>
      <c r="R133" s="25" t="inlineStr"/>
    </row>
    <row r="134" ht="28" customHeight="1">
      <c r="A134" s="51" t="n">
        <v>132</v>
      </c>
      <c r="B134" s="52" t="inlineStr"/>
      <c r="C134" s="52" t="inlineStr">
        <is>
          <t>🟩 Phase 3: Practice</t>
        </is>
      </c>
      <c r="D134" s="52" t="inlineStr">
        <is>
          <t>Week 20</t>
        </is>
      </c>
      <c r="E134" s="53" t="inlineStr">
        <is>
          <t>TRE 1.0 Third Attempt (Target: 70+/80)</t>
        </is>
      </c>
      <c r="F134" s="53" t="inlineStr">
        <is>
          <t>—</t>
        </is>
      </c>
      <c r="G134" s="53" t="inlineStr">
        <is>
          <t>PYQ ROUND 3</t>
        </is>
      </c>
      <c r="H134" s="54" t="inlineStr"/>
      <c r="I134" s="25" t="inlineStr"/>
      <c r="J134" s="25" t="inlineStr"/>
      <c r="K134" s="25" t="inlineStr"/>
      <c r="L134" s="25" t="inlineStr"/>
      <c r="M134" s="26">
        <f>IF(H134="✅",100,IF(H134="🔄",50,0))</f>
        <v/>
      </c>
      <c r="N134" s="25" t="inlineStr"/>
      <c r="O134" s="25" t="inlineStr"/>
      <c r="P134" s="25" t="inlineStr"/>
      <c r="Q134" s="25" t="inlineStr"/>
      <c r="R134" s="25" t="inlineStr"/>
    </row>
    <row r="135" ht="28" customHeight="1">
      <c r="A135" s="51" t="n">
        <v>133</v>
      </c>
      <c r="B135" s="52" t="inlineStr"/>
      <c r="C135" s="52" t="inlineStr">
        <is>
          <t>🟩 Phase 3: Practice</t>
        </is>
      </c>
      <c r="D135" s="52" t="inlineStr">
        <is>
          <t>Week 20</t>
        </is>
      </c>
      <c r="E135" s="53" t="inlineStr">
        <is>
          <t>TRE 2.0 Third Attempt (Target: 70+/80)</t>
        </is>
      </c>
      <c r="F135" s="53" t="inlineStr">
        <is>
          <t>—</t>
        </is>
      </c>
      <c r="G135" s="53" t="inlineStr">
        <is>
          <t>PYQ ROUND 3</t>
        </is>
      </c>
      <c r="H135" s="54" t="inlineStr"/>
      <c r="I135" s="25" t="inlineStr"/>
      <c r="J135" s="25" t="inlineStr"/>
      <c r="K135" s="25" t="inlineStr"/>
      <c r="L135" s="25" t="inlineStr"/>
      <c r="M135" s="26">
        <f>IF(H135="✅",100,IF(H135="🔄",50,0))</f>
        <v/>
      </c>
      <c r="N135" s="25" t="inlineStr"/>
      <c r="O135" s="25" t="inlineStr"/>
      <c r="P135" s="25" t="inlineStr"/>
      <c r="Q135" s="25" t="inlineStr"/>
      <c r="R135" s="25" t="inlineStr"/>
    </row>
    <row r="136" ht="28" customHeight="1">
      <c r="A136" s="51" t="n">
        <v>134</v>
      </c>
      <c r="B136" s="52" t="inlineStr"/>
      <c r="C136" s="52" t="inlineStr">
        <is>
          <t>🟩 Phase 3: Practice</t>
        </is>
      </c>
      <c r="D136" s="52" t="inlineStr">
        <is>
          <t>Week 20</t>
        </is>
      </c>
      <c r="E136" s="53" t="inlineStr">
        <is>
          <t>TRE 3.0 Third Attempt (Target: 65+/80)</t>
        </is>
      </c>
      <c r="F136" s="53" t="inlineStr">
        <is>
          <t>—</t>
        </is>
      </c>
      <c r="G136" s="53" t="inlineStr">
        <is>
          <t>PYQ ROUND 3 — Hardest paper</t>
        </is>
      </c>
      <c r="H136" s="54" t="inlineStr"/>
      <c r="I136" s="25" t="inlineStr"/>
      <c r="J136" s="25" t="inlineStr"/>
      <c r="K136" s="25" t="inlineStr"/>
      <c r="L136" s="25" t="inlineStr"/>
      <c r="M136" s="26">
        <f>IF(H136="✅",100,IF(H136="🔄",50,0))</f>
        <v/>
      </c>
      <c r="N136" s="25" t="inlineStr"/>
      <c r="O136" s="25" t="inlineStr"/>
      <c r="P136" s="25" t="inlineStr"/>
      <c r="Q136" s="25" t="inlineStr"/>
      <c r="R136" s="25" t="inlineStr"/>
    </row>
    <row r="137" ht="28" customHeight="1">
      <c r="A137" s="51" t="n">
        <v>135</v>
      </c>
      <c r="B137" s="52" t="inlineStr"/>
      <c r="C137" s="52" t="inlineStr">
        <is>
          <t>🟩 Phase 3: Practice</t>
        </is>
      </c>
      <c r="D137" s="52" t="inlineStr">
        <is>
          <t>Week 20</t>
        </is>
      </c>
      <c r="E137" s="53" t="inlineStr">
        <is>
          <t>Final GS Sprint: History + Geography — 50 MCQs</t>
        </is>
      </c>
      <c r="F137" s="53" t="inlineStr">
        <is>
          <t>—</t>
        </is>
      </c>
      <c r="G137" s="53" t="inlineStr">
        <is>
          <t>GS SPRINT</t>
        </is>
      </c>
      <c r="H137" s="54" t="inlineStr"/>
      <c r="I137" s="25" t="inlineStr"/>
      <c r="J137" s="25" t="inlineStr"/>
      <c r="K137" s="25" t="inlineStr"/>
      <c r="L137" s="25" t="inlineStr"/>
      <c r="M137" s="26">
        <f>IF(H137="✅",100,IF(H137="🔄",50,0))</f>
        <v/>
      </c>
      <c r="N137" s="25" t="inlineStr"/>
      <c r="O137" s="25" t="inlineStr"/>
      <c r="P137" s="25" t="inlineStr"/>
      <c r="Q137" s="25" t="inlineStr"/>
      <c r="R137" s="25" t="inlineStr"/>
    </row>
    <row r="138" ht="28" customHeight="1">
      <c r="A138" s="51" t="n">
        <v>136</v>
      </c>
      <c r="B138" s="52" t="inlineStr"/>
      <c r="C138" s="52" t="inlineStr">
        <is>
          <t>🟩 Phase 3: Practice</t>
        </is>
      </c>
      <c r="D138" s="52" t="inlineStr">
        <is>
          <t>Week 20</t>
        </is>
      </c>
      <c r="E138" s="53" t="inlineStr">
        <is>
          <t>Final GS Sprint: Science + Maths — 50 MCQs</t>
        </is>
      </c>
      <c r="F138" s="53" t="inlineStr">
        <is>
          <t>—</t>
        </is>
      </c>
      <c r="G138" s="53" t="inlineStr">
        <is>
          <t>GS SPRINT</t>
        </is>
      </c>
      <c r="H138" s="54" t="inlineStr"/>
      <c r="I138" s="25" t="inlineStr"/>
      <c r="J138" s="25" t="inlineStr"/>
      <c r="K138" s="25" t="inlineStr"/>
      <c r="L138" s="25" t="inlineStr"/>
      <c r="M138" s="26">
        <f>IF(H138="✅",100,IF(H138="🔄",50,0))</f>
        <v/>
      </c>
      <c r="N138" s="25" t="inlineStr"/>
      <c r="O138" s="25" t="inlineStr"/>
      <c r="P138" s="25" t="inlineStr"/>
      <c r="Q138" s="25" t="inlineStr"/>
      <c r="R138" s="25" t="inlineStr"/>
    </row>
    <row r="139" ht="28" customHeight="1">
      <c r="A139" s="43" t="n">
        <v>137</v>
      </c>
      <c r="B139" s="44" t="inlineStr"/>
      <c r="C139" s="44" t="inlineStr">
        <is>
          <t>🟩 Phase 3: Practice</t>
        </is>
      </c>
      <c r="D139" s="44" t="inlineStr">
        <is>
          <t>Week 20</t>
        </is>
      </c>
      <c r="E139" s="45" t="inlineStr">
        <is>
          <t>MOCK TEST 10 — Full Paper (Target: 130+)</t>
        </is>
      </c>
      <c r="F139" s="45" t="inlineStr">
        <is>
          <t>—</t>
        </is>
      </c>
      <c r="G139" s="45" t="inlineStr">
        <is>
          <t>MOCK TEST 10 — TARGET 130+</t>
        </is>
      </c>
      <c r="H139" s="46" t="inlineStr"/>
      <c r="I139" s="25" t="inlineStr"/>
      <c r="J139" s="25" t="inlineStr"/>
      <c r="K139" s="25" t="inlineStr"/>
      <c r="L139" s="25" t="inlineStr"/>
      <c r="M139" s="26">
        <f>IF(H139="✅",100,IF(H139="🔄",50,0))</f>
        <v/>
      </c>
      <c r="N139" s="25" t="inlineStr"/>
      <c r="O139" s="25" t="inlineStr"/>
      <c r="P139" s="25" t="inlineStr"/>
      <c r="Q139" s="25" t="inlineStr"/>
      <c r="R139" s="25" t="inlineStr"/>
    </row>
    <row r="140" ht="28" customHeight="1">
      <c r="A140" s="51" t="n">
        <v>138</v>
      </c>
      <c r="B140" s="52" t="inlineStr"/>
      <c r="C140" s="52" t="inlineStr">
        <is>
          <t>🟩 Phase 3: Practice</t>
        </is>
      </c>
      <c r="D140" s="52" t="inlineStr">
        <is>
          <t>Week 20</t>
        </is>
      </c>
      <c r="E140" s="53" t="inlineStr">
        <is>
          <t>Mock Test 10 Deep Analysis: Final Fix Plan</t>
        </is>
      </c>
      <c r="F140" s="53" t="inlineStr">
        <is>
          <t>—</t>
        </is>
      </c>
      <c r="G140" s="53" t="inlineStr">
        <is>
          <t>FINAL FIX ANALYSIS</t>
        </is>
      </c>
      <c r="H140" s="54" t="inlineStr"/>
      <c r="I140" s="25" t="inlineStr"/>
      <c r="J140" s="25" t="inlineStr"/>
      <c r="K140" s="25" t="inlineStr"/>
      <c r="L140" s="25" t="inlineStr"/>
      <c r="M140" s="26">
        <f>IF(H140="✅",100,IF(H140="🔄",50,0))</f>
        <v/>
      </c>
      <c r="N140" s="25" t="inlineStr"/>
      <c r="O140" s="25" t="inlineStr"/>
      <c r="P140" s="25" t="inlineStr"/>
      <c r="Q140" s="25" t="inlineStr"/>
      <c r="R140" s="25" t="inlineStr"/>
    </row>
    <row r="141" ht="28" customHeight="1">
      <c r="A141" s="51" t="n">
        <v>139</v>
      </c>
      <c r="B141" s="52" t="inlineStr"/>
      <c r="C141" s="52" t="inlineStr">
        <is>
          <t>🟩 Phase 3: Practice</t>
        </is>
      </c>
      <c r="D141" s="52" t="inlineStr">
        <is>
          <t>Week 21</t>
        </is>
      </c>
      <c r="E141" s="53" t="inlineStr">
        <is>
          <t>Notes Revision Day 1: OOP + C++ + DSA (50 rapid questions)</t>
        </is>
      </c>
      <c r="F141" s="53" t="inlineStr">
        <is>
          <t>—</t>
        </is>
      </c>
      <c r="G141" s="53" t="inlineStr">
        <is>
          <t>RAPID REVISION</t>
        </is>
      </c>
      <c r="H141" s="54" t="inlineStr"/>
      <c r="I141" s="25" t="inlineStr"/>
      <c r="J141" s="25" t="inlineStr"/>
      <c r="K141" s="25" t="inlineStr"/>
      <c r="L141" s="25" t="inlineStr"/>
      <c r="M141" s="26">
        <f>IF(H141="✅",100,IF(H141="🔄",50,0))</f>
        <v/>
      </c>
      <c r="N141" s="25" t="inlineStr"/>
      <c r="O141" s="25" t="inlineStr"/>
      <c r="P141" s="25" t="inlineStr"/>
      <c r="Q141" s="25" t="inlineStr"/>
      <c r="R141" s="25" t="inlineStr"/>
    </row>
    <row r="142" ht="28" customHeight="1">
      <c r="A142" s="51" t="n">
        <v>140</v>
      </c>
      <c r="B142" s="52" t="inlineStr"/>
      <c r="C142" s="52" t="inlineStr">
        <is>
          <t>🟩 Phase 3: Practice</t>
        </is>
      </c>
      <c r="D142" s="52" t="inlineStr">
        <is>
          <t>Week 21</t>
        </is>
      </c>
      <c r="E142" s="53" t="inlineStr">
        <is>
          <t>Notes Revision Day 2: DBMS + Networks (50 rapid questions)</t>
        </is>
      </c>
      <c r="F142" s="53" t="inlineStr">
        <is>
          <t>—</t>
        </is>
      </c>
      <c r="G142" s="53" t="inlineStr">
        <is>
          <t>RAPID REVISION</t>
        </is>
      </c>
      <c r="H142" s="54" t="inlineStr"/>
      <c r="I142" s="25" t="inlineStr"/>
      <c r="J142" s="25" t="inlineStr"/>
      <c r="K142" s="25" t="inlineStr"/>
      <c r="L142" s="25" t="inlineStr"/>
      <c r="M142" s="26">
        <f>IF(H142="✅",100,IF(H142="🔄",50,0))</f>
        <v/>
      </c>
      <c r="N142" s="25" t="inlineStr"/>
      <c r="O142" s="25" t="inlineStr"/>
      <c r="P142" s="25" t="inlineStr"/>
      <c r="Q142" s="25" t="inlineStr"/>
      <c r="R142" s="25" t="inlineStr"/>
    </row>
    <row r="143" ht="28" customHeight="1">
      <c r="A143" s="51" t="n">
        <v>141</v>
      </c>
      <c r="B143" s="52" t="inlineStr"/>
      <c r="C143" s="52" t="inlineStr">
        <is>
          <t>🟩 Phase 3: Practice</t>
        </is>
      </c>
      <c r="D143" s="52" t="inlineStr">
        <is>
          <t>Week 21</t>
        </is>
      </c>
      <c r="E143" s="53" t="inlineStr">
        <is>
          <t>Notes Revision Day 3: Digital Electronics + OS (50 rapid Q)</t>
        </is>
      </c>
      <c r="F143" s="53" t="inlineStr">
        <is>
          <t>—</t>
        </is>
      </c>
      <c r="G143" s="53" t="inlineStr">
        <is>
          <t>RAPID REVISION</t>
        </is>
      </c>
      <c r="H143" s="54" t="inlineStr"/>
      <c r="I143" s="25" t="inlineStr"/>
      <c r="J143" s="25" t="inlineStr"/>
      <c r="K143" s="25" t="inlineStr"/>
      <c r="L143" s="25" t="inlineStr"/>
      <c r="M143" s="26">
        <f>IF(H143="✅",100,IF(H143="🔄",50,0))</f>
        <v/>
      </c>
      <c r="N143" s="25" t="inlineStr"/>
      <c r="O143" s="25" t="inlineStr"/>
      <c r="P143" s="25" t="inlineStr"/>
      <c r="Q143" s="25" t="inlineStr"/>
      <c r="R143" s="25" t="inlineStr"/>
    </row>
    <row r="144" ht="28" customHeight="1">
      <c r="A144" s="43" t="n">
        <v>142</v>
      </c>
      <c r="B144" s="44" t="inlineStr"/>
      <c r="C144" s="44" t="inlineStr">
        <is>
          <t>🟩 Phase 3: Practice</t>
        </is>
      </c>
      <c r="D144" s="44" t="inlineStr">
        <is>
          <t>Week 21</t>
        </is>
      </c>
      <c r="E144" s="45" t="inlineStr">
        <is>
          <t>MOCK TEST 11 — Final 150-Question Paper Before Sprint</t>
        </is>
      </c>
      <c r="F144" s="45" t="inlineStr">
        <is>
          <t>—</t>
        </is>
      </c>
      <c r="G144" s="45" t="inlineStr">
        <is>
          <t>MOCK TEST 11</t>
        </is>
      </c>
      <c r="H144" s="46" t="inlineStr"/>
      <c r="I144" s="25" t="inlineStr"/>
      <c r="J144" s="25" t="inlineStr"/>
      <c r="K144" s="25" t="inlineStr"/>
      <c r="L144" s="25" t="inlineStr"/>
      <c r="M144" s="26">
        <f>IF(H144="✅",100,IF(H144="🔄",50,0))</f>
        <v/>
      </c>
      <c r="N144" s="25" t="inlineStr"/>
      <c r="O144" s="25" t="inlineStr"/>
      <c r="P144" s="25" t="inlineStr"/>
      <c r="Q144" s="25" t="inlineStr"/>
      <c r="R144" s="25" t="inlineStr"/>
    </row>
    <row r="145" ht="28" customHeight="1">
      <c r="A145" s="51" t="n">
        <v>143</v>
      </c>
      <c r="B145" s="52" t="inlineStr"/>
      <c r="C145" s="52" t="inlineStr">
        <is>
          <t>🟩 Phase 3: Practice</t>
        </is>
      </c>
      <c r="D145" s="52" t="inlineStr">
        <is>
          <t>Week 21</t>
        </is>
      </c>
      <c r="E145" s="53" t="inlineStr">
        <is>
          <t>Formula Sheet Final Review: Page offset, Catalan, MUX, BigO</t>
        </is>
      </c>
      <c r="F145" s="53" t="inlineStr">
        <is>
          <t>—</t>
        </is>
      </c>
      <c r="G145" s="53" t="inlineStr">
        <is>
          <t>FORMULA MEMORIZATION</t>
        </is>
      </c>
      <c r="H145" s="54" t="inlineStr"/>
      <c r="I145" s="25" t="inlineStr"/>
      <c r="J145" s="25" t="inlineStr"/>
      <c r="K145" s="25" t="inlineStr"/>
      <c r="L145" s="25" t="inlineStr"/>
      <c r="M145" s="26">
        <f>IF(H145="✅",100,IF(H145="🔄",50,0))</f>
        <v/>
      </c>
      <c r="N145" s="25" t="inlineStr"/>
      <c r="O145" s="25" t="inlineStr"/>
      <c r="P145" s="25" t="inlineStr"/>
      <c r="Q145" s="25" t="inlineStr"/>
      <c r="R145" s="25" t="inlineStr"/>
    </row>
    <row r="146" ht="28" customHeight="1">
      <c r="A146" s="51" t="n">
        <v>144</v>
      </c>
      <c r="B146" s="52" t="inlineStr"/>
      <c r="C146" s="52" t="inlineStr">
        <is>
          <t>🟩 Phase 3: Practice</t>
        </is>
      </c>
      <c r="D146" s="52" t="inlineStr">
        <is>
          <t>Week 21</t>
        </is>
      </c>
      <c r="E146" s="53" t="inlineStr">
        <is>
          <t>Language Final: 30 Hindi + 8 English Qualifying Practice</t>
        </is>
      </c>
      <c r="F146" s="53" t="inlineStr">
        <is>
          <t>—</t>
        </is>
      </c>
      <c r="G146" s="53" t="inlineStr">
        <is>
          <t>LANGUAGE FINAL</t>
        </is>
      </c>
      <c r="H146" s="54" t="inlineStr"/>
      <c r="I146" s="25" t="inlineStr"/>
      <c r="J146" s="25" t="inlineStr"/>
      <c r="K146" s="25" t="inlineStr"/>
      <c r="L146" s="25" t="inlineStr"/>
      <c r="M146" s="26">
        <f>IF(H146="✅",100,IF(H146="🔄",50,0))</f>
        <v/>
      </c>
      <c r="N146" s="25" t="inlineStr"/>
      <c r="O146" s="25" t="inlineStr"/>
      <c r="P146" s="25" t="inlineStr"/>
      <c r="Q146" s="25" t="inlineStr"/>
      <c r="R146" s="25" t="inlineStr"/>
    </row>
    <row r="147" ht="28" customHeight="1">
      <c r="A147" s="55" t="n">
        <v>145</v>
      </c>
      <c r="B147" s="56" t="inlineStr"/>
      <c r="C147" s="56" t="inlineStr">
        <is>
          <t>🟦 Phase 4: Final Sprint</t>
        </is>
      </c>
      <c r="D147" s="56" t="inlineStr">
        <is>
          <t>Week 22</t>
        </is>
      </c>
      <c r="E147" s="57" t="inlineStr">
        <is>
          <t>TOP 25 PYQ Topics: 1 Key Question Per Topic (Final Round)</t>
        </is>
      </c>
      <c r="F147" s="57" t="inlineStr">
        <is>
          <t>—</t>
        </is>
      </c>
      <c r="G147" s="57" t="inlineStr">
        <is>
          <t>FINAL SPRINT BEGINS</t>
        </is>
      </c>
      <c r="H147" s="58" t="inlineStr"/>
      <c r="I147" s="25" t="inlineStr"/>
      <c r="J147" s="25" t="inlineStr"/>
      <c r="K147" s="25" t="inlineStr"/>
      <c r="L147" s="25" t="inlineStr"/>
      <c r="M147" s="26">
        <f>IF(H147="✅",100,IF(H147="🔄",50,0))</f>
        <v/>
      </c>
      <c r="N147" s="25" t="inlineStr"/>
      <c r="O147" s="25" t="inlineStr"/>
      <c r="P147" s="25" t="inlineStr"/>
      <c r="Q147" s="25" t="inlineStr"/>
      <c r="R147" s="25" t="inlineStr"/>
    </row>
    <row r="148" ht="28" customHeight="1">
      <c r="A148" s="55" t="n">
        <v>146</v>
      </c>
      <c r="B148" s="56" t="inlineStr"/>
      <c r="C148" s="56" t="inlineStr">
        <is>
          <t>🟦 Phase 4: Final Sprint</t>
        </is>
      </c>
      <c r="D148" s="56" t="inlineStr">
        <is>
          <t>Week 22</t>
        </is>
      </c>
      <c r="E148" s="57" t="inlineStr">
        <is>
          <t>Conceptual Traps Masterclass: All Mistakes to Avoid (Final)</t>
        </is>
      </c>
      <c r="F148" s="57" t="inlineStr">
        <is>
          <t>—</t>
        </is>
      </c>
      <c r="G148" s="57" t="inlineStr">
        <is>
          <t>TRAPS FINAL TEST — Score 100%</t>
        </is>
      </c>
      <c r="H148" s="58" t="inlineStr"/>
      <c r="I148" s="25" t="inlineStr"/>
      <c r="J148" s="25" t="inlineStr"/>
      <c r="K148" s="25" t="inlineStr"/>
      <c r="L148" s="25" t="inlineStr"/>
      <c r="M148" s="26">
        <f>IF(H148="✅",100,IF(H148="🔄",50,0))</f>
        <v/>
      </c>
      <c r="N148" s="25" t="inlineStr"/>
      <c r="O148" s="25" t="inlineStr"/>
      <c r="P148" s="25" t="inlineStr"/>
      <c r="Q148" s="25" t="inlineStr"/>
      <c r="R148" s="25" t="inlineStr"/>
    </row>
    <row r="149" ht="28" customHeight="1">
      <c r="A149" s="43" t="n">
        <v>147</v>
      </c>
      <c r="B149" s="44" t="inlineStr"/>
      <c r="C149" s="44" t="inlineStr">
        <is>
          <t>🟦 Phase 4: Final Sprint</t>
        </is>
      </c>
      <c r="D149" s="44" t="inlineStr">
        <is>
          <t>Week 22</t>
        </is>
      </c>
      <c r="E149" s="45" t="inlineStr">
        <is>
          <t>MOCK TEST 12 — Simulate Exact Exam Conditions (2.5 hrs)</t>
        </is>
      </c>
      <c r="F149" s="45" t="inlineStr">
        <is>
          <t>—</t>
        </is>
      </c>
      <c r="G149" s="45" t="inlineStr">
        <is>
          <t>FINAL MOCK TEST</t>
        </is>
      </c>
      <c r="H149" s="46" t="inlineStr"/>
      <c r="I149" s="25" t="inlineStr"/>
      <c r="J149" s="25" t="inlineStr"/>
      <c r="K149" s="25" t="inlineStr"/>
      <c r="L149" s="25" t="inlineStr"/>
      <c r="M149" s="26">
        <f>IF(H149="✅",100,IF(H149="🔄",50,0))</f>
        <v/>
      </c>
      <c r="N149" s="25" t="inlineStr"/>
      <c r="O149" s="25" t="inlineStr"/>
      <c r="P149" s="25" t="inlineStr"/>
      <c r="Q149" s="25" t="inlineStr"/>
      <c r="R149" s="25" t="inlineStr"/>
    </row>
    <row r="150" ht="28" customHeight="1">
      <c r="A150" s="55" t="n">
        <v>148</v>
      </c>
      <c r="B150" s="56" t="inlineStr"/>
      <c r="C150" s="56" t="inlineStr">
        <is>
          <t>🟦 Phase 4: Final Sprint</t>
        </is>
      </c>
      <c r="D150" s="56" t="inlineStr">
        <is>
          <t>Week 22</t>
        </is>
      </c>
      <c r="E150" s="57" t="inlineStr">
        <is>
          <t>Mock Test 12 Analysis: Last 5-10 Topics to Review</t>
        </is>
      </c>
      <c r="F150" s="57" t="inlineStr">
        <is>
          <t>—</t>
        </is>
      </c>
      <c r="G150" s="57" t="inlineStr">
        <is>
          <t>FINAL ANALYSIS</t>
        </is>
      </c>
      <c r="H150" s="58" t="inlineStr"/>
      <c r="I150" s="25" t="inlineStr"/>
      <c r="J150" s="25" t="inlineStr"/>
      <c r="K150" s="25" t="inlineStr"/>
      <c r="L150" s="25" t="inlineStr"/>
      <c r="M150" s="26">
        <f>IF(H150="✅",100,IF(H150="🔄",50,0))</f>
        <v/>
      </c>
      <c r="N150" s="25" t="inlineStr"/>
      <c r="O150" s="25" t="inlineStr"/>
      <c r="P150" s="25" t="inlineStr"/>
      <c r="Q150" s="25" t="inlineStr"/>
      <c r="R150" s="25" t="inlineStr"/>
    </row>
    <row r="151" ht="28" customHeight="1">
      <c r="A151" s="55" t="n">
        <v>149</v>
      </c>
      <c r="B151" s="56" t="inlineStr"/>
      <c r="C151" s="56" t="inlineStr">
        <is>
          <t>🟦 Phase 4: Final Sprint</t>
        </is>
      </c>
      <c r="D151" s="56" t="inlineStr">
        <is>
          <t>Week 22</t>
        </is>
      </c>
      <c r="E151" s="57" t="inlineStr">
        <is>
          <t>Final Fix: Last Remaining Weak Topics</t>
        </is>
      </c>
      <c r="F151" s="57" t="inlineStr">
        <is>
          <t>—</t>
        </is>
      </c>
      <c r="G151" s="57" t="inlineStr">
        <is>
          <t>FINAL WEAK TOPIC FIX</t>
        </is>
      </c>
      <c r="H151" s="58" t="inlineStr"/>
      <c r="I151" s="25" t="inlineStr"/>
      <c r="J151" s="25" t="inlineStr"/>
      <c r="K151" s="25" t="inlineStr"/>
      <c r="L151" s="25" t="inlineStr"/>
      <c r="M151" s="26">
        <f>IF(H151="✅",100,IF(H151="🔄",50,0))</f>
        <v/>
      </c>
      <c r="N151" s="25" t="inlineStr"/>
      <c r="O151" s="25" t="inlineStr"/>
      <c r="P151" s="25" t="inlineStr"/>
      <c r="Q151" s="25" t="inlineStr"/>
      <c r="R151" s="25" t="inlineStr"/>
    </row>
    <row r="152" ht="28" customHeight="1">
      <c r="A152" s="35" t="n">
        <v>150</v>
      </c>
      <c r="B152" s="36" t="inlineStr"/>
      <c r="C152" s="36" t="inlineStr">
        <is>
          <t>🟦 Phase 4: Final Sprint</t>
        </is>
      </c>
      <c r="D152" s="36" t="inlineStr">
        <is>
          <t>Week 22</t>
        </is>
      </c>
      <c r="E152" s="37" t="inlineStr">
        <is>
          <t>LIGHT REVISION ONLY: 100 One-Line Key Facts Flash Review</t>
        </is>
      </c>
      <c r="F152" s="37" t="inlineStr">
        <is>
          <t>—</t>
        </is>
      </c>
      <c r="G152" s="37" t="inlineStr">
        <is>
          <t>LIGHT REVISION — No new learning</t>
        </is>
      </c>
      <c r="H152" s="38" t="inlineStr"/>
      <c r="I152" s="25" t="inlineStr"/>
      <c r="J152" s="25" t="inlineStr"/>
      <c r="K152" s="25" t="inlineStr"/>
      <c r="L152" s="25" t="inlineStr"/>
      <c r="M152" s="26">
        <f>IF(H152="✅",100,IF(H152="🔄",50,0))</f>
        <v/>
      </c>
      <c r="N152" s="25" t="inlineStr"/>
      <c r="O152" s="25" t="inlineStr"/>
      <c r="P152" s="25" t="inlineStr"/>
      <c r="Q152" s="25" t="inlineStr"/>
      <c r="R152" s="25" t="inlineStr"/>
    </row>
    <row r="153" ht="28" customHeight="1">
      <c r="A153" s="55" t="n">
        <v>151</v>
      </c>
      <c r="B153" s="56" t="inlineStr"/>
      <c r="C153" s="56" t="inlineStr">
        <is>
          <t>🟦 Phase 4: Final Sprint</t>
        </is>
      </c>
      <c r="D153" s="56" t="inlineStr">
        <is>
          <t>Week 23</t>
        </is>
      </c>
      <c r="E153" s="57" t="inlineStr">
        <is>
          <t>OOP Key Facts (10 min)</t>
        </is>
      </c>
      <c r="F153" s="57" t="inlineStr">
        <is>
          <t>GS History (20 min)</t>
        </is>
      </c>
      <c r="G153" s="57" t="inlineStr">
        <is>
          <t>DAILY 30-MIN REVISION</t>
        </is>
      </c>
      <c r="H153" s="58" t="inlineStr"/>
      <c r="I153" s="25" t="inlineStr"/>
      <c r="J153" s="25" t="inlineStr"/>
      <c r="K153" s="25" t="inlineStr"/>
      <c r="L153" s="25" t="inlineStr"/>
      <c r="M153" s="26">
        <f>IF(H153="✅",100,IF(H153="🔄",50,0))</f>
        <v/>
      </c>
      <c r="N153" s="25" t="inlineStr"/>
      <c r="O153" s="25" t="inlineStr"/>
      <c r="P153" s="25" t="inlineStr"/>
      <c r="Q153" s="25" t="inlineStr"/>
      <c r="R153" s="25" t="inlineStr"/>
    </row>
    <row r="154" ht="28" customHeight="1">
      <c r="A154" s="55" t="n">
        <v>152</v>
      </c>
      <c r="B154" s="56" t="inlineStr"/>
      <c r="C154" s="56" t="inlineStr">
        <is>
          <t>🟦 Phase 4: Final Sprint</t>
        </is>
      </c>
      <c r="D154" s="56" t="inlineStr">
        <is>
          <t>Week 23</t>
        </is>
      </c>
      <c r="E154" s="57" t="inlineStr">
        <is>
          <t>DSA Key Facts (10 min)</t>
        </is>
      </c>
      <c r="F154" s="57" t="inlineStr">
        <is>
          <t>GS Geography (20 min)</t>
        </is>
      </c>
      <c r="G154" s="57" t="inlineStr">
        <is>
          <t>DAILY 30-MIN REVISION</t>
        </is>
      </c>
      <c r="H154" s="58" t="inlineStr"/>
      <c r="I154" s="25" t="inlineStr"/>
      <c r="J154" s="25" t="inlineStr"/>
      <c r="K154" s="25" t="inlineStr"/>
      <c r="L154" s="25" t="inlineStr"/>
      <c r="M154" s="26">
        <f>IF(H154="✅",100,IF(H154="🔄",50,0))</f>
        <v/>
      </c>
      <c r="N154" s="25" t="inlineStr"/>
      <c r="O154" s="25" t="inlineStr"/>
      <c r="P154" s="25" t="inlineStr"/>
      <c r="Q154" s="25" t="inlineStr"/>
      <c r="R154" s="25" t="inlineStr"/>
    </row>
    <row r="155" ht="28" customHeight="1">
      <c r="A155" s="55" t="n">
        <v>153</v>
      </c>
      <c r="B155" s="56" t="inlineStr"/>
      <c r="C155" s="56" t="inlineStr">
        <is>
          <t>🟦 Phase 4: Final Sprint</t>
        </is>
      </c>
      <c r="D155" s="56" t="inlineStr">
        <is>
          <t>Week 23</t>
        </is>
      </c>
      <c r="E155" s="57" t="inlineStr">
        <is>
          <t>DBMS/SQL Key Facts (10 min)</t>
        </is>
      </c>
      <c r="F155" s="57" t="inlineStr">
        <is>
          <t>GS Science (20 min)</t>
        </is>
      </c>
      <c r="G155" s="57" t="inlineStr">
        <is>
          <t>DAILY 30-MIN REVISION</t>
        </is>
      </c>
      <c r="H155" s="58" t="inlineStr"/>
      <c r="I155" s="25" t="inlineStr"/>
      <c r="J155" s="25" t="inlineStr"/>
      <c r="K155" s="25" t="inlineStr"/>
      <c r="L155" s="25" t="inlineStr"/>
      <c r="M155" s="26">
        <f>IF(H155="✅",100,IF(H155="🔄",50,0))</f>
        <v/>
      </c>
      <c r="N155" s="25" t="inlineStr"/>
      <c r="O155" s="25" t="inlineStr"/>
      <c r="P155" s="25" t="inlineStr"/>
      <c r="Q155" s="25" t="inlineStr"/>
      <c r="R155" s="25" t="inlineStr"/>
    </row>
    <row r="156" ht="28" customHeight="1">
      <c r="A156" s="55" t="n">
        <v>154</v>
      </c>
      <c r="B156" s="56" t="inlineStr"/>
      <c r="C156" s="56" t="inlineStr">
        <is>
          <t>🟦 Phase 4: Final Sprint</t>
        </is>
      </c>
      <c r="D156" s="56" t="inlineStr">
        <is>
          <t>Week 23</t>
        </is>
      </c>
      <c r="E156" s="57" t="inlineStr">
        <is>
          <t>Networks Key Facts (10 min)</t>
        </is>
      </c>
      <c r="F156" s="57" t="inlineStr">
        <is>
          <t>GS Maths (20 min)</t>
        </is>
      </c>
      <c r="G156" s="57" t="inlineStr">
        <is>
          <t>DAILY 30-MIN REVISION</t>
        </is>
      </c>
      <c r="H156" s="58" t="inlineStr"/>
      <c r="I156" s="25" t="inlineStr"/>
      <c r="J156" s="25" t="inlineStr"/>
      <c r="K156" s="25" t="inlineStr"/>
      <c r="L156" s="25" t="inlineStr"/>
      <c r="M156" s="26">
        <f>IF(H156="✅",100,IF(H156="🔄",50,0))</f>
        <v/>
      </c>
      <c r="N156" s="25" t="inlineStr"/>
      <c r="O156" s="25" t="inlineStr"/>
      <c r="P156" s="25" t="inlineStr"/>
      <c r="Q156" s="25" t="inlineStr"/>
      <c r="R156" s="25" t="inlineStr"/>
    </row>
    <row r="157" ht="28" customHeight="1">
      <c r="A157" s="55" t="n">
        <v>155</v>
      </c>
      <c r="B157" s="56" t="inlineStr"/>
      <c r="C157" s="56" t="inlineStr">
        <is>
          <t>🟦 Phase 4: Final Sprint</t>
        </is>
      </c>
      <c r="D157" s="56" t="inlineStr">
        <is>
          <t>Week 23</t>
        </is>
      </c>
      <c r="E157" s="57" t="inlineStr">
        <is>
          <t>Digital Electronics (10 min)</t>
        </is>
      </c>
      <c r="F157" s="57" t="inlineStr">
        <is>
          <t>GS Bihar Specific (20 min)</t>
        </is>
      </c>
      <c r="G157" s="57" t="inlineStr">
        <is>
          <t>DAILY 30-MIN REVISION</t>
        </is>
      </c>
      <c r="H157" s="58" t="inlineStr"/>
      <c r="I157" s="25" t="inlineStr"/>
      <c r="J157" s="25" t="inlineStr"/>
      <c r="K157" s="25" t="inlineStr"/>
      <c r="L157" s="25" t="inlineStr"/>
      <c r="M157" s="26">
        <f>IF(H157="✅",100,IF(H157="🔄",50,0))</f>
        <v/>
      </c>
      <c r="N157" s="25" t="inlineStr"/>
      <c r="O157" s="25" t="inlineStr"/>
      <c r="P157" s="25" t="inlineStr"/>
      <c r="Q157" s="25" t="inlineStr"/>
      <c r="R157" s="25" t="inlineStr"/>
    </row>
    <row r="158" ht="28" customHeight="1">
      <c r="A158" s="55" t="n">
        <v>156</v>
      </c>
      <c r="B158" s="56" t="inlineStr"/>
      <c r="C158" s="56" t="inlineStr">
        <is>
          <t>🟦 Phase 4: Final Sprint</t>
        </is>
      </c>
      <c r="D158" s="56" t="inlineStr">
        <is>
          <t>Week 23</t>
        </is>
      </c>
      <c r="E158" s="57" t="inlineStr">
        <is>
          <t>OS Key Facts (10 min)</t>
        </is>
      </c>
      <c r="F158" s="57" t="inlineStr">
        <is>
          <t>Language Quick Review (20 min)</t>
        </is>
      </c>
      <c r="G158" s="57" t="inlineStr">
        <is>
          <t>DAILY 30-MIN REVISION</t>
        </is>
      </c>
      <c r="H158" s="58" t="inlineStr"/>
      <c r="I158" s="25" t="inlineStr"/>
      <c r="J158" s="25" t="inlineStr"/>
      <c r="K158" s="25" t="inlineStr"/>
      <c r="L158" s="25" t="inlineStr"/>
      <c r="M158" s="26">
        <f>IF(H158="✅",100,IF(H158="🔄",50,0))</f>
        <v/>
      </c>
      <c r="N158" s="25" t="inlineStr"/>
      <c r="O158" s="25" t="inlineStr"/>
      <c r="P158" s="25" t="inlineStr"/>
      <c r="Q158" s="25" t="inlineStr"/>
      <c r="R158" s="25" t="inlineStr"/>
    </row>
    <row r="159" ht="28" customHeight="1">
      <c r="A159" s="55" t="n">
        <v>157</v>
      </c>
      <c r="B159" s="56" t="inlineStr"/>
      <c r="C159" s="56" t="inlineStr">
        <is>
          <t>🟦 Phase 4: Final Sprint</t>
        </is>
      </c>
      <c r="D159" s="56" t="inlineStr">
        <is>
          <t>Week 23</t>
        </is>
      </c>
      <c r="E159" s="57" t="inlineStr">
        <is>
          <t>All Conceptual Traps (20 min)</t>
        </is>
      </c>
      <c r="F159" s="57" t="inlineStr">
        <is>
          <t>Formula Sheet (10 min)</t>
        </is>
      </c>
      <c r="G159" s="57" t="inlineStr">
        <is>
          <t>DAILY 30-MIN REVISION</t>
        </is>
      </c>
      <c r="H159" s="58" t="inlineStr"/>
      <c r="I159" s="25" t="inlineStr"/>
      <c r="J159" s="25" t="inlineStr"/>
      <c r="K159" s="25" t="inlineStr"/>
      <c r="L159" s="25" t="inlineStr"/>
      <c r="M159" s="26">
        <f>IF(H159="✅",100,IF(H159="🔄",50,0))</f>
        <v/>
      </c>
      <c r="N159" s="25" t="inlineStr"/>
      <c r="O159" s="25" t="inlineStr"/>
      <c r="P159" s="25" t="inlineStr"/>
      <c r="Q159" s="25" t="inlineStr"/>
      <c r="R159" s="25" t="inlineStr"/>
    </row>
    <row r="160" ht="28" customHeight="1">
      <c r="A160" s="55" t="n">
        <v>158</v>
      </c>
      <c r="B160" s="56" t="inlineStr"/>
      <c r="C160" s="56" t="inlineStr">
        <is>
          <t>🟦 Phase 4: Final Sprint</t>
        </is>
      </c>
      <c r="D160" s="56" t="inlineStr">
        <is>
          <t>Week 23</t>
        </is>
      </c>
      <c r="E160" s="57" t="inlineStr">
        <is>
          <t>Full Formula Sheet Memorization (30 min)</t>
        </is>
      </c>
      <c r="F160" s="57" t="inlineStr">
        <is>
          <t>—</t>
        </is>
      </c>
      <c r="G160" s="57" t="inlineStr">
        <is>
          <t>FORMULA MEMORIZATION</t>
        </is>
      </c>
      <c r="H160" s="58" t="inlineStr"/>
      <c r="I160" s="25" t="inlineStr"/>
      <c r="J160" s="25" t="inlineStr"/>
      <c r="K160" s="25" t="inlineStr"/>
      <c r="L160" s="25" t="inlineStr"/>
      <c r="M160" s="26">
        <f>IF(H160="✅",100,IF(H160="🔄",50,0))</f>
        <v/>
      </c>
      <c r="N160" s="25" t="inlineStr"/>
      <c r="O160" s="25" t="inlineStr"/>
      <c r="P160" s="25" t="inlineStr"/>
      <c r="Q160" s="25" t="inlineStr"/>
      <c r="R160" s="25" t="inlineStr"/>
    </row>
    <row r="161" ht="28" customHeight="1">
      <c r="A161" s="55" t="n">
        <v>159</v>
      </c>
      <c r="B161" s="56" t="inlineStr"/>
      <c r="C161" s="56" t="inlineStr">
        <is>
          <t>🟦 Phase 4: Final Sprint</t>
        </is>
      </c>
      <c r="D161" s="56" t="inlineStr">
        <is>
          <t>Week 23</t>
        </is>
      </c>
      <c r="E161" s="57" t="inlineStr">
        <is>
          <t>Light PYQ Revision Only (30 min)</t>
        </is>
      </c>
      <c r="F161" s="57" t="inlineStr">
        <is>
          <t>—</t>
        </is>
      </c>
      <c r="G161" s="57" t="inlineStr">
        <is>
          <t>LIGHT PYQ</t>
        </is>
      </c>
      <c r="H161" s="58" t="inlineStr"/>
      <c r="I161" s="25" t="inlineStr"/>
      <c r="J161" s="25" t="inlineStr"/>
      <c r="K161" s="25" t="inlineStr"/>
      <c r="L161" s="25" t="inlineStr"/>
      <c r="M161" s="26">
        <f>IF(H161="✅",100,IF(H161="🔄",50,0))</f>
        <v/>
      </c>
      <c r="N161" s="25" t="inlineStr"/>
      <c r="O161" s="25" t="inlineStr"/>
      <c r="P161" s="25" t="inlineStr"/>
      <c r="Q161" s="25" t="inlineStr"/>
      <c r="R161" s="25" t="inlineStr"/>
    </row>
    <row r="162" ht="28" customHeight="1">
      <c r="A162" s="55" t="n">
        <v>160</v>
      </c>
      <c r="B162" s="56" t="inlineStr"/>
      <c r="C162" s="56" t="inlineStr">
        <is>
          <t>🟦 Phase 4: Final Sprint</t>
        </is>
      </c>
      <c r="D162" s="56" t="inlineStr">
        <is>
          <t>Week 23</t>
        </is>
      </c>
      <c r="E162" s="57" t="inlineStr">
        <is>
          <t>Rest + Confidence Building (Light Review 20 min)</t>
        </is>
      </c>
      <c r="F162" s="57" t="inlineStr">
        <is>
          <t>—</t>
        </is>
      </c>
      <c r="G162" s="57" t="inlineStr">
        <is>
          <t>REST DAY</t>
        </is>
      </c>
      <c r="H162" s="58" t="inlineStr"/>
      <c r="I162" s="25" t="inlineStr"/>
      <c r="J162" s="25" t="inlineStr"/>
      <c r="K162" s="25" t="inlineStr"/>
      <c r="L162" s="25" t="inlineStr"/>
      <c r="M162" s="26">
        <f>IF(H162="✅",100,IF(H162="🔄",50,0))</f>
        <v/>
      </c>
      <c r="N162" s="25" t="inlineStr"/>
      <c r="O162" s="25" t="inlineStr"/>
      <c r="P162" s="25" t="inlineStr"/>
      <c r="Q162" s="25" t="inlineStr"/>
      <c r="R162" s="25" t="inlineStr"/>
    </row>
    <row r="163" ht="28" customHeight="1">
      <c r="A163" s="55" t="n">
        <v>161</v>
      </c>
      <c r="B163" s="56" t="inlineStr"/>
      <c r="C163" s="56" t="inlineStr">
        <is>
          <t>🟦 Phase 4: Final Sprint</t>
        </is>
      </c>
      <c r="D163" s="56" t="inlineStr">
        <is>
          <t>Week 24</t>
        </is>
      </c>
      <c r="E163" s="57" t="inlineStr">
        <is>
          <t>PRE-EXAM: Review Formula Sheet (Night before exam)</t>
        </is>
      </c>
      <c r="F163" s="57" t="inlineStr">
        <is>
          <t>—</t>
        </is>
      </c>
      <c r="G163" s="57" t="inlineStr">
        <is>
          <t>EXAM PREP — Sleep by 10 PM</t>
        </is>
      </c>
      <c r="H163" s="58" t="inlineStr"/>
      <c r="I163" s="25" t="inlineStr"/>
      <c r="J163" s="25" t="inlineStr"/>
      <c r="K163" s="25" t="inlineStr"/>
      <c r="L163" s="25" t="inlineStr"/>
      <c r="M163" s="26">
        <f>IF(H163="✅",100,IF(H163="🔄",50,0))</f>
        <v/>
      </c>
      <c r="N163" s="25" t="inlineStr"/>
      <c r="O163" s="25" t="inlineStr"/>
      <c r="P163" s="25" t="inlineStr"/>
      <c r="Q163" s="25" t="inlineStr"/>
      <c r="R163" s="25" t="inlineStr"/>
    </row>
    <row r="164" ht="28" customHeight="1">
      <c r="A164" s="55" t="n">
        <v>162</v>
      </c>
      <c r="B164" s="56" t="inlineStr"/>
      <c r="C164" s="56" t="inlineStr">
        <is>
          <t>🟦 Phase 4: Final Sprint</t>
        </is>
      </c>
      <c r="D164" s="56" t="inlineStr">
        <is>
          <t>Week 24</t>
        </is>
      </c>
      <c r="E164" s="57" t="inlineStr">
        <is>
          <t>PRE-EXAM: Light revision only</t>
        </is>
      </c>
      <c r="F164" s="57" t="inlineStr">
        <is>
          <t>—</t>
        </is>
      </c>
      <c r="G164" s="57" t="inlineStr">
        <is>
          <t>EXAM PREP</t>
        </is>
      </c>
      <c r="H164" s="58" t="inlineStr"/>
      <c r="I164" s="25" t="inlineStr"/>
      <c r="J164" s="25" t="inlineStr"/>
      <c r="K164" s="25" t="inlineStr"/>
      <c r="L164" s="25" t="inlineStr"/>
      <c r="M164" s="26">
        <f>IF(H164="✅",100,IF(H164="🔄",50,0))</f>
        <v/>
      </c>
      <c r="N164" s="25" t="inlineStr"/>
      <c r="O164" s="25" t="inlineStr"/>
      <c r="P164" s="25" t="inlineStr"/>
      <c r="Q164" s="25" t="inlineStr"/>
      <c r="R164" s="25" t="inlineStr"/>
    </row>
    <row r="165" ht="28" customHeight="1">
      <c r="A165" s="55" t="n">
        <v>163</v>
      </c>
      <c r="B165" s="56" t="inlineStr"/>
      <c r="C165" s="56" t="inlineStr">
        <is>
          <t>🟦 Phase 4: Final Sprint</t>
        </is>
      </c>
      <c r="D165" s="56" t="inlineStr">
        <is>
          <t>Week 24</t>
        </is>
      </c>
      <c r="E165" s="57" t="inlineStr">
        <is>
          <t>PRE-EXAM: Light revision only</t>
        </is>
      </c>
      <c r="F165" s="57" t="inlineStr">
        <is>
          <t>—</t>
        </is>
      </c>
      <c r="G165" s="57" t="inlineStr">
        <is>
          <t>EXAM PREP</t>
        </is>
      </c>
      <c r="H165" s="58" t="inlineStr"/>
      <c r="I165" s="25" t="inlineStr"/>
      <c r="J165" s="25" t="inlineStr"/>
      <c r="K165" s="25" t="inlineStr"/>
      <c r="L165" s="25" t="inlineStr"/>
      <c r="M165" s="26">
        <f>IF(H165="✅",100,IF(H165="🔄",50,0))</f>
        <v/>
      </c>
      <c r="N165" s="25" t="inlineStr"/>
      <c r="O165" s="25" t="inlineStr"/>
      <c r="P165" s="25" t="inlineStr"/>
      <c r="Q165" s="25" t="inlineStr"/>
      <c r="R165" s="25" t="inlineStr"/>
    </row>
    <row r="166" ht="28" customHeight="1">
      <c r="A166" s="55" t="n">
        <v>164</v>
      </c>
      <c r="B166" s="56" t="inlineStr"/>
      <c r="C166" s="56" t="inlineStr">
        <is>
          <t>🟦 Phase 4: Final Sprint</t>
        </is>
      </c>
      <c r="D166" s="56" t="inlineStr">
        <is>
          <t>Week 24</t>
        </is>
      </c>
      <c r="E166" s="57" t="inlineStr">
        <is>
          <t>PRE-EXAM: Light revision only</t>
        </is>
      </c>
      <c r="F166" s="57" t="inlineStr">
        <is>
          <t>—</t>
        </is>
      </c>
      <c r="G166" s="57" t="inlineStr">
        <is>
          <t>EXAM PREP</t>
        </is>
      </c>
      <c r="H166" s="58" t="inlineStr"/>
      <c r="I166" s="25" t="inlineStr"/>
      <c r="J166" s="25" t="inlineStr"/>
      <c r="K166" s="25" t="inlineStr"/>
      <c r="L166" s="25" t="inlineStr"/>
      <c r="M166" s="26">
        <f>IF(H166="✅",100,IF(H166="🔄",50,0))</f>
        <v/>
      </c>
      <c r="N166" s="25" t="inlineStr"/>
      <c r="O166" s="25" t="inlineStr"/>
      <c r="P166" s="25" t="inlineStr"/>
      <c r="Q166" s="25" t="inlineStr"/>
      <c r="R166" s="25" t="inlineStr"/>
    </row>
    <row r="167" ht="28" customHeight="1">
      <c r="A167" s="55" t="n">
        <v>165</v>
      </c>
      <c r="B167" s="56" t="inlineStr"/>
      <c r="C167" s="56" t="inlineStr">
        <is>
          <t>🟦 Phase 4: Final Sprint</t>
        </is>
      </c>
      <c r="D167" s="56" t="inlineStr">
        <is>
          <t>Week 24</t>
        </is>
      </c>
      <c r="E167" s="57" t="inlineStr">
        <is>
          <t>PRE-EXAM: Light revision only</t>
        </is>
      </c>
      <c r="F167" s="57" t="inlineStr">
        <is>
          <t>—</t>
        </is>
      </c>
      <c r="G167" s="57" t="inlineStr">
        <is>
          <t>EXAM PREP</t>
        </is>
      </c>
      <c r="H167" s="58" t="inlineStr"/>
      <c r="I167" s="25" t="inlineStr"/>
      <c r="J167" s="25" t="inlineStr"/>
      <c r="K167" s="25" t="inlineStr"/>
      <c r="L167" s="25" t="inlineStr"/>
      <c r="M167" s="26">
        <f>IF(H167="✅",100,IF(H167="🔄",50,0))</f>
        <v/>
      </c>
      <c r="N167" s="25" t="inlineStr"/>
      <c r="O167" s="25" t="inlineStr"/>
      <c r="P167" s="25" t="inlineStr"/>
      <c r="Q167" s="25" t="inlineStr"/>
      <c r="R167" s="25" t="inlineStr"/>
    </row>
    <row r="168" ht="28" customHeight="1">
      <c r="A168" s="55" t="n">
        <v>166</v>
      </c>
      <c r="B168" s="56" t="inlineStr"/>
      <c r="C168" s="56" t="inlineStr">
        <is>
          <t>🟦 Phase 4: Final Sprint</t>
        </is>
      </c>
      <c r="D168" s="56" t="inlineStr">
        <is>
          <t>Week 24</t>
        </is>
      </c>
      <c r="E168" s="57" t="inlineStr">
        <is>
          <t>PRE-EXAM: Light revision only</t>
        </is>
      </c>
      <c r="F168" s="57" t="inlineStr">
        <is>
          <t>—</t>
        </is>
      </c>
      <c r="G168" s="57" t="inlineStr">
        <is>
          <t>EXAM PREP</t>
        </is>
      </c>
      <c r="H168" s="58" t="inlineStr"/>
      <c r="I168" s="25" t="inlineStr"/>
      <c r="J168" s="25" t="inlineStr"/>
      <c r="K168" s="25" t="inlineStr"/>
      <c r="L168" s="25" t="inlineStr"/>
      <c r="M168" s="26">
        <f>IF(H168="✅",100,IF(H168="🔄",50,0))</f>
        <v/>
      </c>
      <c r="N168" s="25" t="inlineStr"/>
      <c r="O168" s="25" t="inlineStr"/>
      <c r="P168" s="25" t="inlineStr"/>
      <c r="Q168" s="25" t="inlineStr"/>
      <c r="R168" s="25" t="inlineStr"/>
    </row>
    <row r="169" ht="28" customHeight="1">
      <c r="A169" s="55" t="n">
        <v>167</v>
      </c>
      <c r="B169" s="56" t="inlineStr"/>
      <c r="C169" s="56" t="inlineStr">
        <is>
          <t>🟦 Phase 4: Final Sprint</t>
        </is>
      </c>
      <c r="D169" s="56" t="inlineStr">
        <is>
          <t>Week 24</t>
        </is>
      </c>
      <c r="E169" s="57" t="inlineStr">
        <is>
          <t>PRE-EXAM: Light revision only</t>
        </is>
      </c>
      <c r="F169" s="57" t="inlineStr">
        <is>
          <t>—</t>
        </is>
      </c>
      <c r="G169" s="57" t="inlineStr">
        <is>
          <t>EXAM PREP</t>
        </is>
      </c>
      <c r="H169" s="58" t="inlineStr"/>
      <c r="I169" s="25" t="inlineStr"/>
      <c r="J169" s="25" t="inlineStr"/>
      <c r="K169" s="25" t="inlineStr"/>
      <c r="L169" s="25" t="inlineStr"/>
      <c r="M169" s="26">
        <f>IF(H169="✅",100,IF(H169="🔄",50,0))</f>
        <v/>
      </c>
      <c r="N169" s="25" t="inlineStr"/>
      <c r="O169" s="25" t="inlineStr"/>
      <c r="P169" s="25" t="inlineStr"/>
      <c r="Q169" s="25" t="inlineStr"/>
      <c r="R169" s="25" t="inlineStr"/>
    </row>
    <row r="170" ht="28" customHeight="1">
      <c r="A170" s="55" t="n">
        <v>168</v>
      </c>
      <c r="B170" s="56" t="inlineStr"/>
      <c r="C170" s="56" t="inlineStr">
        <is>
          <t>🟦 Phase 4: Final Sprint</t>
        </is>
      </c>
      <c r="D170" s="56" t="inlineStr">
        <is>
          <t>Week 24</t>
        </is>
      </c>
      <c r="E170" s="57" t="inlineStr">
        <is>
          <t>PRE-EXAM: Light revision only</t>
        </is>
      </c>
      <c r="F170" s="57" t="inlineStr">
        <is>
          <t>—</t>
        </is>
      </c>
      <c r="G170" s="57" t="inlineStr">
        <is>
          <t>EXAM PREP</t>
        </is>
      </c>
      <c r="H170" s="58" t="inlineStr"/>
      <c r="I170" s="25" t="inlineStr"/>
      <c r="J170" s="25" t="inlineStr"/>
      <c r="K170" s="25" t="inlineStr"/>
      <c r="L170" s="25" t="inlineStr"/>
      <c r="M170" s="26">
        <f>IF(H170="✅",100,IF(H170="🔄",50,0))</f>
        <v/>
      </c>
      <c r="N170" s="25" t="inlineStr"/>
      <c r="O170" s="25" t="inlineStr"/>
      <c r="P170" s="25" t="inlineStr"/>
      <c r="Q170" s="25" t="inlineStr"/>
      <c r="R170" s="25" t="inlineStr"/>
    </row>
    <row r="171" ht="28" customHeight="1">
      <c r="A171" s="55" t="n">
        <v>169</v>
      </c>
      <c r="B171" s="56" t="inlineStr"/>
      <c r="C171" s="56" t="inlineStr">
        <is>
          <t>🟦 Phase 4: Final Sprint</t>
        </is>
      </c>
      <c r="D171" s="56" t="inlineStr">
        <is>
          <t>Week 24</t>
        </is>
      </c>
      <c r="E171" s="57" t="inlineStr">
        <is>
          <t>PRE-EXAM: Final night — formula sheet only, sleep by 10 PM</t>
        </is>
      </c>
      <c r="F171" s="57" t="inlineStr">
        <is>
          <t>—</t>
        </is>
      </c>
      <c r="G171" s="57" t="inlineStr">
        <is>
          <t>FINAL NIGHT</t>
        </is>
      </c>
      <c r="H171" s="58" t="inlineStr"/>
      <c r="I171" s="25" t="inlineStr"/>
      <c r="J171" s="25" t="inlineStr"/>
      <c r="K171" s="25" t="inlineStr"/>
      <c r="L171" s="25" t="inlineStr"/>
      <c r="M171" s="26">
        <f>IF(H171="✅",100,IF(H171="🔄",50,0))</f>
        <v/>
      </c>
      <c r="N171" s="25" t="inlineStr"/>
      <c r="O171" s="25" t="inlineStr"/>
      <c r="P171" s="25" t="inlineStr"/>
      <c r="Q171" s="25" t="inlineStr"/>
      <c r="R171" s="25" t="inlineStr"/>
    </row>
    <row r="172" ht="28" customHeight="1">
      <c r="A172" s="59" t="n">
        <v>170</v>
      </c>
      <c r="B172" s="60" t="inlineStr"/>
      <c r="C172" s="60" t="inlineStr">
        <is>
          <t>🟦 Phase 4: Final Sprint</t>
        </is>
      </c>
      <c r="D172" s="60" t="inlineStr">
        <is>
          <t>Week 24</t>
        </is>
      </c>
      <c r="E172" s="61" t="inlineStr">
        <is>
          <t>🎯 EXAM DAY — BPSC TRE 4.0</t>
        </is>
      </c>
      <c r="F172" s="61" t="inlineStr">
        <is>
          <t>—</t>
        </is>
      </c>
      <c r="G172" s="61" t="inlineStr">
        <is>
          <t>🏆 GIVE YOUR BEST!</t>
        </is>
      </c>
      <c r="H172" s="62" t="inlineStr"/>
      <c r="I172" s="25" t="inlineStr"/>
      <c r="J172" s="25" t="inlineStr"/>
      <c r="K172" s="25" t="inlineStr"/>
      <c r="L172" s="25" t="inlineStr"/>
      <c r="M172" s="26">
        <f>IF(H172="✅",100,IF(H172="🔄",50,0))</f>
        <v/>
      </c>
      <c r="N172" s="25" t="inlineStr"/>
      <c r="O172" s="25" t="inlineStr"/>
      <c r="P172" s="25" t="inlineStr"/>
      <c r="Q172" s="25" t="inlineStr"/>
      <c r="R172" s="25" t="inlineStr"/>
    </row>
  </sheetData>
  <mergeCells count="1">
    <mergeCell ref="A1:R1"/>
  </mergeCells>
  <conditionalFormatting sqref="Q3:Q172">
    <cfRule type="colorScale" priority="1">
      <colorScale>
        <cfvo type="num" val="1"/>
        <cfvo type="num" val="5"/>
        <cfvo type="num" val="10"/>
        <color rgb="00FF4444"/>
        <color rgb="00FFFF44"/>
        <color rgb="0044BB44"/>
      </colorScale>
    </cfRule>
  </conditionalFormatting>
  <dataValidations count="2">
    <dataValidation sqref="H3:H172" showDropDown="0" showInputMessage="0" showErrorMessage="0" allowBlank="1" type="list">
      <formula1>"✅,🔄,⬜"</formula1>
    </dataValidation>
    <dataValidation sqref="O3:O17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52" customWidth="1" min="4" max="4"/>
    <col width="52" customWidth="1" min="5" max="5"/>
    <col width="12" customWidth="1" min="6" max="6"/>
    <col width="14" customWidth="1" min="7" max="7"/>
  </cols>
  <sheetData>
    <row r="1" ht="30" customHeight="1">
      <c r="A1" s="1" t="inlineStr">
        <is>
          <t>BPSC TRE 4.0 — PHASE &amp; TOPIC OVERVIEW</t>
        </is>
      </c>
    </row>
    <row r="3" ht="30" customHeight="1">
      <c r="A3" s="63" t="inlineStr">
        <is>
          <t>Phase</t>
        </is>
      </c>
      <c r="B3" s="63" t="inlineStr">
        <is>
          <t>Days</t>
        </is>
      </c>
      <c r="C3" s="63" t="inlineStr">
        <is>
          <t>Month</t>
        </is>
      </c>
      <c r="D3" s="63" t="inlineStr">
        <is>
          <t>Topics Covered</t>
        </is>
      </c>
      <c r="E3" s="63" t="inlineStr">
        <is>
          <t>Milestone Goal</t>
        </is>
      </c>
      <c r="F3" s="63" t="inlineStr">
        <is>
          <t>Duration</t>
        </is>
      </c>
      <c r="G3" s="63" t="inlineStr">
        <is>
          <t>Daily Time</t>
        </is>
      </c>
    </row>
    <row r="4" ht="40" customHeight="1">
      <c r="A4" s="64" t="inlineStr">
        <is>
          <t>🟥 Phase 1: Foundation</t>
        </is>
      </c>
      <c r="B4" s="64" t="inlineStr">
        <is>
          <t>Day 1–60</t>
        </is>
      </c>
      <c r="C4" s="64" t="inlineStr">
        <is>
          <t>April–May 2026</t>
        </is>
      </c>
      <c r="D4" s="65" t="inlineStr">
        <is>
          <t>OOP, C++, Data Structures, DBMS, Computer Networks</t>
        </is>
      </c>
      <c r="E4" s="65" t="inlineStr">
        <is>
          <t>Solve TRE 1.0 PYQ once; Write topic notes</t>
        </is>
      </c>
      <c r="F4" s="64" t="inlineStr">
        <is>
          <t>60 days</t>
        </is>
      </c>
      <c r="G4" s="64" t="inlineStr">
        <is>
          <t>4 hrs/day</t>
        </is>
      </c>
    </row>
    <row r="5" ht="40" customHeight="1">
      <c r="A5" s="66" t="inlineStr">
        <is>
          <t>🟨 Phase 2: Depth Building</t>
        </is>
      </c>
      <c r="B5" s="66" t="inlineStr">
        <is>
          <t>Day 61–120</t>
        </is>
      </c>
      <c r="C5" s="66" t="inlineStr">
        <is>
          <t>June–July 2026</t>
        </is>
      </c>
      <c r="D5" s="67" t="inlineStr">
        <is>
          <t>Digital Electronics, Operating Systems, Computer Architecture, Algorithms, AI/IoT, Web Tech</t>
        </is>
      </c>
      <c r="E5" s="67" t="inlineStr">
        <is>
          <t>Solve TRE 2.0 &amp; 3.0 PYQ; 3 Full Mock Tests</t>
        </is>
      </c>
      <c r="F5" s="66" t="inlineStr">
        <is>
          <t>60 days</t>
        </is>
      </c>
      <c r="G5" s="66" t="inlineStr">
        <is>
          <t>5–6 hrs/day</t>
        </is>
      </c>
    </row>
    <row r="6" ht="40" customHeight="1">
      <c r="A6" s="68" t="inlineStr">
        <is>
          <t>🟩 Phase 3: Practice</t>
        </is>
      </c>
      <c r="B6" s="68" t="inlineStr">
        <is>
          <t>Day 121–150</t>
        </is>
      </c>
      <c r="C6" s="68" t="inlineStr">
        <is>
          <t>August 2026</t>
        </is>
      </c>
      <c r="D6" s="69" t="inlineStr">
        <is>
          <t>Mock Tests, Weak Area Fixing, All 3 PYQ Papers Round 3, Speed Training</t>
        </is>
      </c>
      <c r="E6" s="69" t="inlineStr">
        <is>
          <t>12 Mock Tests total; PYQ Papers solved 3 times each; 130+ target</t>
        </is>
      </c>
      <c r="F6" s="68" t="inlineStr">
        <is>
          <t>30 days</t>
        </is>
      </c>
      <c r="G6" s="68" t="inlineStr">
        <is>
          <t>6 hrs/day</t>
        </is>
      </c>
    </row>
    <row r="7" ht="40" customHeight="1">
      <c r="A7" s="70" t="inlineStr">
        <is>
          <t>🟦 Phase 4: Final Sprint</t>
        </is>
      </c>
      <c r="B7" s="70" t="inlineStr">
        <is>
          <t>Day 151–170</t>
        </is>
      </c>
      <c r="C7" s="70" t="inlineStr">
        <is>
          <t>September 2026</t>
        </is>
      </c>
      <c r="D7" s="71" t="inlineStr">
        <is>
          <t>PYQ Revision, Formula Sheets, Language Section, Exam Simulation</t>
        </is>
      </c>
      <c r="E7" s="71" t="inlineStr">
        <is>
          <t>Light revision only; Formula sheet; Exam Day Strategy</t>
        </is>
      </c>
      <c r="F7" s="70" t="inlineStr">
        <is>
          <t>20 days</t>
        </is>
      </c>
      <c r="G7" s="70" t="inlineStr">
        <is>
          <t>3 hrs/day</t>
        </is>
      </c>
    </row>
    <row r="10">
      <c r="A10" s="72" t="inlineStr">
        <is>
          <t>📊 CS TOPIC WEIGHT ANALYSIS (Based on TRE 1.0 + 2.0 + 3.0)</t>
        </is>
      </c>
    </row>
    <row r="11" ht="24" customHeight="1">
      <c r="A11" s="73" t="inlineStr">
        <is>
          <t>Topic</t>
        </is>
      </c>
      <c r="B11" s="73" t="inlineStr">
        <is>
          <t>TRE 1.0</t>
        </is>
      </c>
      <c r="C11" s="73" t="inlineStr">
        <is>
          <t>TRE 2.0</t>
        </is>
      </c>
      <c r="D11" s="73" t="inlineStr">
        <is>
          <t>TRE 3.0</t>
        </is>
      </c>
      <c r="E11" s="73" t="inlineStr">
        <is>
          <t>TOTAL</t>
        </is>
      </c>
      <c r="F11" s="73" t="inlineStr">
        <is>
          <t>% of CS</t>
        </is>
      </c>
      <c r="G11" s="73" t="inlineStr">
        <is>
          <t>Expected in TRE 4.0</t>
        </is>
      </c>
      <c r="H11" s="73" t="inlineStr">
        <is>
          <t>Priority</t>
        </is>
      </c>
    </row>
    <row r="12">
      <c r="A12" s="74" t="inlineStr">
        <is>
          <t>OOP / C++ Programming</t>
        </is>
      </c>
      <c r="B12" s="75" t="n">
        <v>22</v>
      </c>
      <c r="C12" s="75" t="n">
        <v>25</v>
      </c>
      <c r="D12" s="75" t="n">
        <v>4</v>
      </c>
      <c r="E12" s="75">
        <f>C12+D12+E12</f>
        <v/>
      </c>
      <c r="F12" s="76">
        <f>F12/240*100</f>
        <v/>
      </c>
      <c r="G12" s="75" t="inlineStr">
        <is>
          <t>~16 Questions</t>
        </is>
      </c>
      <c r="H12" s="75" t="inlineStr">
        <is>
          <t>🔴 TIER 1 — MUST MASTER</t>
        </is>
      </c>
    </row>
    <row r="13">
      <c r="A13" s="74" t="inlineStr">
        <is>
          <t>Data Structures &amp; Algorithms</t>
        </is>
      </c>
      <c r="B13" s="75" t="n">
        <v>14</v>
      </c>
      <c r="C13" s="75" t="n">
        <v>14</v>
      </c>
      <c r="D13" s="75" t="n">
        <v>16</v>
      </c>
      <c r="E13" s="75">
        <f>C13+D13+E13</f>
        <v/>
      </c>
      <c r="F13" s="76">
        <f>F13/240*100</f>
        <v/>
      </c>
      <c r="G13" s="75" t="inlineStr">
        <is>
          <t>~14 Questions</t>
        </is>
      </c>
      <c r="H13" s="75" t="inlineStr">
        <is>
          <t>🔴 TIER 1 — MUST MASTER</t>
        </is>
      </c>
    </row>
    <row r="14">
      <c r="A14" s="74" t="inlineStr">
        <is>
          <t>DBMS &amp; SQL</t>
        </is>
      </c>
      <c r="B14" s="75" t="n">
        <v>12</v>
      </c>
      <c r="C14" s="75" t="n">
        <v>12</v>
      </c>
      <c r="D14" s="75" t="n">
        <v>5</v>
      </c>
      <c r="E14" s="75">
        <f>C14+D14+E14</f>
        <v/>
      </c>
      <c r="F14" s="76">
        <f>F14/240*100</f>
        <v/>
      </c>
      <c r="G14" s="75" t="inlineStr">
        <is>
          <t>~10 Questions</t>
        </is>
      </c>
      <c r="H14" s="75" t="inlineStr">
        <is>
          <t>🔴 TIER 1 — MUST MASTER</t>
        </is>
      </c>
    </row>
    <row r="15">
      <c r="A15" s="74" t="inlineStr">
        <is>
          <t>Computer Networks</t>
        </is>
      </c>
      <c r="B15" s="75" t="n">
        <v>10</v>
      </c>
      <c r="C15" s="75" t="n">
        <v>10</v>
      </c>
      <c r="D15" s="75" t="n">
        <v>6</v>
      </c>
      <c r="E15" s="75">
        <f>C15+D15+E15</f>
        <v/>
      </c>
      <c r="F15" s="76">
        <f>F15/240*100</f>
        <v/>
      </c>
      <c r="G15" s="75" t="inlineStr">
        <is>
          <t>~8 Questions</t>
        </is>
      </c>
      <c r="H15" s="75" t="inlineStr">
        <is>
          <t>🔴 TIER 1 — MUST MASTER</t>
        </is>
      </c>
    </row>
    <row r="16">
      <c r="A16" s="69" t="inlineStr">
        <is>
          <t>Digital Electronics &amp; Logic</t>
        </is>
      </c>
      <c r="B16" s="77" t="n">
        <v>5</v>
      </c>
      <c r="C16" s="77" t="n">
        <v>3</v>
      </c>
      <c r="D16" s="77" t="n">
        <v>16</v>
      </c>
      <c r="E16" s="77">
        <f>C16+D16+E16</f>
        <v/>
      </c>
      <c r="F16" s="78">
        <f>F16/240*100</f>
        <v/>
      </c>
      <c r="G16" s="77" t="inlineStr">
        <is>
          <t>~12 Questions</t>
        </is>
      </c>
      <c r="H16" s="77" t="inlineStr">
        <is>
          <t>🟡 TIER 2 — IMPORTANT</t>
        </is>
      </c>
    </row>
    <row r="17">
      <c r="A17" s="69" t="inlineStr">
        <is>
          <t>Operating Systems</t>
        </is>
      </c>
      <c r="B17" s="77" t="n">
        <v>2</v>
      </c>
      <c r="C17" s="77" t="n">
        <v>2</v>
      </c>
      <c r="D17" s="77" t="n">
        <v>13</v>
      </c>
      <c r="E17" s="77">
        <f>C17+D17+E17</f>
        <v/>
      </c>
      <c r="F17" s="78">
        <f>F17/240*100</f>
        <v/>
      </c>
      <c r="G17" s="77" t="inlineStr">
        <is>
          <t>~10 Questions</t>
        </is>
      </c>
      <c r="H17" s="77" t="inlineStr">
        <is>
          <t>🟡 TIER 2 — IMPORTANT</t>
        </is>
      </c>
    </row>
    <row r="18">
      <c r="A18" s="69" t="inlineStr">
        <is>
          <t>Programming Basics (General)</t>
        </is>
      </c>
      <c r="B18" s="77" t="n">
        <v>5</v>
      </c>
      <c r="C18" s="77" t="n">
        <v>12</v>
      </c>
      <c r="D18" s="77" t="n">
        <v>9</v>
      </c>
      <c r="E18" s="77">
        <f>C18+D18+E18</f>
        <v/>
      </c>
      <c r="F18" s="78">
        <f>F18/240*100</f>
        <v/>
      </c>
      <c r="G18" s="77" t="inlineStr">
        <is>
          <t>~8 Questions</t>
        </is>
      </c>
      <c r="H18" s="77" t="inlineStr">
        <is>
          <t>🟡 TIER 2 — IMPORTANT</t>
        </is>
      </c>
    </row>
    <row r="19">
      <c r="A19" s="69" t="inlineStr">
        <is>
          <t>Computer Architecture</t>
        </is>
      </c>
      <c r="B19" s="77" t="n">
        <v>6</v>
      </c>
      <c r="C19" s="77" t="n">
        <v>2</v>
      </c>
      <c r="D19" s="77" t="n">
        <v>0</v>
      </c>
      <c r="E19" s="77">
        <f>C19+D19+E19</f>
        <v/>
      </c>
      <c r="F19" s="78">
        <f>F19/240*100</f>
        <v/>
      </c>
      <c r="G19" s="77" t="inlineStr">
        <is>
          <t>~5 Questions</t>
        </is>
      </c>
      <c r="H19" s="77" t="inlineStr">
        <is>
          <t>🟡 TIER 2 — IMPORTANT</t>
        </is>
      </c>
    </row>
    <row r="20">
      <c r="A20" s="67" t="inlineStr">
        <is>
          <t>Software Engineering</t>
        </is>
      </c>
      <c r="B20" s="79" t="n">
        <v>0</v>
      </c>
      <c r="C20" s="79" t="n">
        <v>0</v>
      </c>
      <c r="D20" s="79" t="n">
        <v>5</v>
      </c>
      <c r="E20" s="79">
        <f>C20+D20+E20</f>
        <v/>
      </c>
      <c r="F20" s="80">
        <f>F20/240*100</f>
        <v/>
      </c>
      <c r="G20" s="79" t="inlineStr">
        <is>
          <t>~4 Questions</t>
        </is>
      </c>
      <c r="H20" s="79" t="inlineStr">
        <is>
          <t>🟢 TIER 3 — GOOD TO KNOW</t>
        </is>
      </c>
    </row>
    <row r="21">
      <c r="A21" s="67" t="inlineStr">
        <is>
          <t>AI / ML / IoT</t>
        </is>
      </c>
      <c r="B21" s="79" t="n">
        <v>0</v>
      </c>
      <c r="C21" s="79" t="n">
        <v>0</v>
      </c>
      <c r="D21" s="79" t="n">
        <v>4</v>
      </c>
      <c r="E21" s="79">
        <f>C21+D21+E21</f>
        <v/>
      </c>
      <c r="F21" s="80">
        <f>F21/240*100</f>
        <v/>
      </c>
      <c r="G21" s="79" t="inlineStr">
        <is>
          <t>~4 Questions</t>
        </is>
      </c>
      <c r="H21" s="79" t="inlineStr">
        <is>
          <t>🟢 TIER 3 — GOOD TO KNOW</t>
        </is>
      </c>
    </row>
    <row r="22">
      <c r="A22" s="67" t="inlineStr">
        <is>
          <t>Web Technologies / TOC</t>
        </is>
      </c>
      <c r="B22" s="79" t="n">
        <v>2</v>
      </c>
      <c r="C22" s="79" t="n">
        <v>0</v>
      </c>
      <c r="D22" s="79" t="n">
        <v>2</v>
      </c>
      <c r="E22" s="79">
        <f>C22+D22+E22</f>
        <v/>
      </c>
      <c r="F22" s="80">
        <f>F22/240*100</f>
        <v/>
      </c>
      <c r="G22" s="79" t="inlineStr">
        <is>
          <t>~4 Questions</t>
        </is>
      </c>
      <c r="H22" s="79" t="inlineStr">
        <is>
          <t>🟢 TIER 3 — GOOD TO KNOW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55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81" t="inlineStr">
        <is>
          <t>GENERAL STUDIES TRACKER — Target: 36–38 / 40 Marks</t>
        </is>
      </c>
    </row>
    <row r="2" ht="36" customHeight="1">
      <c r="A2" s="82" t="inlineStr">
        <is>
          <t>GS Subject</t>
        </is>
      </c>
      <c r="B2" s="82" t="inlineStr">
        <is>
          <t>Topic</t>
        </is>
      </c>
      <c r="C2" s="82" t="inlineStr">
        <is>
          <t>Status
(✅/🔄/⬜)</t>
        </is>
      </c>
      <c r="D2" s="82" t="inlineStr">
        <is>
          <t>Days
Covered</t>
        </is>
      </c>
      <c r="E2" s="82" t="inlineStr">
        <is>
          <t>Key Facts to Remember</t>
        </is>
      </c>
      <c r="F2" s="82" t="inlineStr">
        <is>
          <t>PYQs
Solved</t>
        </is>
      </c>
      <c r="G2" s="82" t="inlineStr">
        <is>
          <t>Self Score
(/10)</t>
        </is>
      </c>
      <c r="H2" s="82" t="inlineStr">
        <is>
          <t>Notes</t>
        </is>
      </c>
    </row>
    <row r="3" ht="30" customHeight="1">
      <c r="A3" s="83" t="inlineStr">
        <is>
          <t>Mathematics</t>
        </is>
      </c>
      <c r="B3" s="84" t="inlineStr">
        <is>
          <t>Percentage, Profit &amp; Loss, Ratio &amp; Proportion</t>
        </is>
      </c>
      <c r="C3" s="83" t="inlineStr"/>
      <c r="D3" s="83" t="inlineStr">
        <is>
          <t>Day 1–6</t>
        </is>
      </c>
      <c r="E3" s="84" t="inlineStr">
        <is>
          <t>Profit%=(Profit/CP)×100; Cross multiplication for ratio</t>
        </is>
      </c>
      <c r="F3" s="83" t="inlineStr"/>
      <c r="G3" s="83" t="inlineStr"/>
      <c r="H3" s="84" t="inlineStr"/>
    </row>
    <row r="4" ht="30" customHeight="1">
      <c r="A4" s="83" t="inlineStr">
        <is>
          <t>Mathematics</t>
        </is>
      </c>
      <c r="B4" s="84" t="inlineStr">
        <is>
          <t>Number System, LCM, HCF, Averages</t>
        </is>
      </c>
      <c r="C4" s="83" t="inlineStr"/>
      <c r="D4" s="83" t="inlineStr">
        <is>
          <t>Day 6–7</t>
        </is>
      </c>
      <c r="E4" s="84" t="inlineStr">
        <is>
          <t>LCM×HCF=Product of two numbers; Mean is affected by transformations</t>
        </is>
      </c>
      <c r="F4" s="83" t="inlineStr"/>
      <c r="G4" s="83" t="inlineStr"/>
      <c r="H4" s="84" t="inlineStr"/>
    </row>
    <row r="5" ht="30" customHeight="1">
      <c r="A5" s="83" t="inlineStr">
        <is>
          <t>Mathematics</t>
        </is>
      </c>
      <c r="B5" s="84" t="inlineStr">
        <is>
          <t>Work &amp; Time, Speed-Distance-Time</t>
        </is>
      </c>
      <c r="C5" s="83" t="inlineStr"/>
      <c r="D5" s="83" t="inlineStr">
        <is>
          <t>Day 52</t>
        </is>
      </c>
      <c r="E5" s="84" t="inlineStr">
        <is>
          <t>Work=1/Days; D=S×T; Combined work=sum of individual rates</t>
        </is>
      </c>
      <c r="F5" s="83" t="inlineStr"/>
      <c r="G5" s="83" t="inlineStr"/>
      <c r="H5" s="84" t="inlineStr"/>
    </row>
    <row r="6" ht="30" customHeight="1">
      <c r="A6" s="83" t="inlineStr">
        <is>
          <t>Mathematics</t>
        </is>
      </c>
      <c r="B6" s="84" t="inlineStr">
        <is>
          <t>Quadratic Equations, Mensuration, Statistics</t>
        </is>
      </c>
      <c r="C6" s="83" t="inlineStr"/>
      <c r="D6" s="83" t="inlineStr">
        <is>
          <t>Day 52</t>
        </is>
      </c>
      <c r="E6" s="84" t="inlineStr">
        <is>
          <t>TSA of cylinder=2πr(r+h); Sum of roots=-b/a; Product=c/a</t>
        </is>
      </c>
      <c r="F6" s="83" t="inlineStr"/>
      <c r="G6" s="83" t="inlineStr"/>
      <c r="H6" s="84" t="inlineStr"/>
    </row>
    <row r="7" ht="30" customHeight="1">
      <c r="A7" s="85" t="inlineStr">
        <is>
          <t>History</t>
        </is>
      </c>
      <c r="B7" s="86" t="inlineStr">
        <is>
          <t>Champaran 1917, Bihar Provincial Congress 1908</t>
        </is>
      </c>
      <c r="C7" s="85" t="inlineStr"/>
      <c r="D7" s="85" t="inlineStr">
        <is>
          <t>Day 9,53</t>
        </is>
      </c>
      <c r="E7" s="86" t="inlineStr">
        <is>
          <t>Gandhi+Rajendra Prasad; BPC founded 1908 HQ Patna</t>
        </is>
      </c>
      <c r="F7" s="85" t="inlineStr"/>
      <c r="G7" s="85" t="inlineStr"/>
      <c r="H7" s="86" t="inlineStr"/>
    </row>
    <row r="8" ht="30" customHeight="1">
      <c r="A8" s="85" t="inlineStr">
        <is>
          <t>History</t>
        </is>
      </c>
      <c r="B8" s="86" t="inlineStr">
        <is>
          <t>Ghadar Party, Abhinav Bharat, Birsa Munda</t>
        </is>
      </c>
      <c r="C8" s="85" t="inlineStr"/>
      <c r="D8" s="85" t="inlineStr">
        <is>
          <t>Day 36,53</t>
        </is>
      </c>
      <c r="E8" s="86" t="inlineStr">
        <is>
          <t>Ghadar=USA; Abhinav Bharat=Savarkar London; Birsa's C-in-C=Gaya Munda</t>
        </is>
      </c>
      <c r="F8" s="85" t="inlineStr"/>
      <c r="G8" s="85" t="inlineStr"/>
      <c r="H8" s="86" t="inlineStr"/>
    </row>
    <row r="9" ht="30" customHeight="1">
      <c r="A9" s="85" t="inlineStr">
        <is>
          <t>History</t>
        </is>
      </c>
      <c r="B9" s="86" t="inlineStr">
        <is>
          <t>INC Sessions, Jallianwala Bagh 1919, 1857 Revolt</t>
        </is>
      </c>
      <c r="C9" s="85" t="inlineStr"/>
      <c r="D9" s="85" t="inlineStr">
        <is>
          <t>Day 53</t>
        </is>
      </c>
      <c r="E9" s="86" t="inlineStr">
        <is>
          <t>INC Gaya 1922=Chittaranjan Das; JB Viceroy=Chelmsford; 1857=Savarkar</t>
        </is>
      </c>
      <c r="F9" s="85" t="inlineStr"/>
      <c r="G9" s="85" t="inlineStr"/>
      <c r="H9" s="86" t="inlineStr"/>
    </row>
    <row r="10" ht="30" customHeight="1">
      <c r="A10" s="85" t="inlineStr">
        <is>
          <t>History</t>
        </is>
      </c>
      <c r="B10" s="86" t="inlineStr">
        <is>
          <t>Bihar Socialist Party, AIKS Bihar 1936, Home Rule</t>
        </is>
      </c>
      <c r="C10" s="85" t="inlineStr"/>
      <c r="D10" s="85" t="inlineStr">
        <is>
          <t>Day 53</t>
        </is>
      </c>
      <c r="E10" s="86" t="inlineStr">
        <is>
          <t>BSP=Phulan Prasad+JP Narayan; AIKS=Swami Sahajanand Saraswati</t>
        </is>
      </c>
      <c r="F10" s="85" t="inlineStr"/>
      <c r="G10" s="85" t="inlineStr"/>
      <c r="H10" s="86" t="inlineStr"/>
    </row>
    <row r="11" ht="30" customHeight="1">
      <c r="A11" s="85" t="inlineStr">
        <is>
          <t>History</t>
        </is>
      </c>
      <c r="B11" s="86" t="inlineStr">
        <is>
          <t>Bardoli Satyagraha, Quit India, INC Presidents</t>
        </is>
      </c>
      <c r="C11" s="85" t="inlineStr"/>
      <c r="D11" s="85" t="inlineStr">
        <is>
          <t>Day 53</t>
        </is>
      </c>
      <c r="E11" s="86" t="inlineStr">
        <is>
          <t>Bardoli=Sardar Patel; First INC President=W.C. Bonnerjee</t>
        </is>
      </c>
      <c r="F11" s="85" t="inlineStr"/>
      <c r="G11" s="85" t="inlineStr"/>
      <c r="H11" s="86" t="inlineStr"/>
    </row>
    <row r="12" ht="30" customHeight="1">
      <c r="A12" s="87" t="inlineStr">
        <is>
          <t>Geography</t>
        </is>
      </c>
      <c r="B12" s="88" t="inlineStr">
        <is>
          <t>Bihar: 8.58% population, Rohtas=paddy, Bhagalpur=silk</t>
        </is>
      </c>
      <c r="C12" s="87" t="inlineStr"/>
      <c r="D12" s="87" t="inlineStr">
        <is>
          <t>Day 55,110</t>
        </is>
      </c>
      <c r="E12" s="88" t="inlineStr">
        <is>
          <t>Bihar pop=8.58% of India; Rohtas=max paddy production</t>
        </is>
      </c>
      <c r="F12" s="87" t="inlineStr"/>
      <c r="G12" s="87" t="inlineStr"/>
      <c r="H12" s="88" t="inlineStr"/>
    </row>
    <row r="13" ht="30" customHeight="1">
      <c r="A13" s="87" t="inlineStr">
        <is>
          <t>Geography</t>
        </is>
      </c>
      <c r="B13" s="88" t="inlineStr">
        <is>
          <t>Eastern Ghats, Malnad, Black Soil, East-West Corridor</t>
        </is>
      </c>
      <c r="C13" s="87" t="inlineStr"/>
      <c r="D13" s="87" t="inlineStr">
        <is>
          <t>Day 55</t>
        </is>
      </c>
      <c r="E13" s="88" t="inlineStr">
        <is>
          <t>Highest Eastern Ghats=Mahendragiri; Malnad=Karnataka Plateau</t>
        </is>
      </c>
      <c r="F13" s="87" t="inlineStr"/>
      <c r="G13" s="87" t="inlineStr"/>
      <c r="H13" s="88" t="inlineStr"/>
    </row>
    <row r="14" ht="30" customHeight="1">
      <c r="A14" s="87" t="inlineStr">
        <is>
          <t>Geography</t>
        </is>
      </c>
      <c r="B14" s="88" t="inlineStr">
        <is>
          <t>Climate: Monsoon withdrawal, Stalactites/Stalagmites</t>
        </is>
      </c>
      <c r="C14" s="87" t="inlineStr"/>
      <c r="D14" s="87" t="inlineStr">
        <is>
          <t>Day 55</t>
        </is>
      </c>
      <c r="E14" s="88" t="inlineStr">
        <is>
          <t>SW monsoon withdrawal Hyderabad=1st Oct; Stalactites=hanging</t>
        </is>
      </c>
      <c r="F14" s="87" t="inlineStr"/>
      <c r="G14" s="87" t="inlineStr"/>
      <c r="H14" s="88" t="inlineStr"/>
    </row>
    <row r="15" ht="30" customHeight="1">
      <c r="A15" s="87" t="inlineStr">
        <is>
          <t>Geography</t>
        </is>
      </c>
      <c r="B15" s="88" t="inlineStr">
        <is>
          <t>Urbanization (Goa=max), Black soil states, Gondwana Land</t>
        </is>
      </c>
      <c r="C15" s="87" t="inlineStr"/>
      <c r="D15" s="87" t="inlineStr">
        <is>
          <t>Day 55</t>
        </is>
      </c>
      <c r="E15" s="88" t="inlineStr">
        <is>
          <t>Max urbanization=Goa; Black soil=Karnataka+Gujarat (both)</t>
        </is>
      </c>
      <c r="F15" s="87" t="inlineStr"/>
      <c r="G15" s="87" t="inlineStr"/>
      <c r="H15" s="88" t="inlineStr"/>
    </row>
    <row r="16" ht="30" customHeight="1">
      <c r="A16" s="89" t="inlineStr">
        <is>
          <t>Physics</t>
        </is>
      </c>
      <c r="B16" s="90" t="inlineStr">
        <is>
          <t>Bernoulli, Stefan's Law (E∝T⁴), Convex lens in water</t>
        </is>
      </c>
      <c r="C16" s="89" t="inlineStr"/>
      <c r="D16" s="89" t="inlineStr">
        <is>
          <t>Day 24,54</t>
        </is>
      </c>
      <c r="E16" s="90" t="inlineStr">
        <is>
          <t>Stefan: E∝T⁴; Convex lens in water=still convex, focal↑</t>
        </is>
      </c>
      <c r="F16" s="89" t="inlineStr"/>
      <c r="G16" s="89" t="inlineStr"/>
      <c r="H16" s="90" t="inlineStr"/>
    </row>
    <row r="17" ht="30" customHeight="1">
      <c r="A17" s="89" t="inlineStr">
        <is>
          <t>Physics</t>
        </is>
      </c>
      <c r="B17" s="90" t="inlineStr">
        <is>
          <t>P=I²R, Speed of electron=c/137, Light frequency unchanged</t>
        </is>
      </c>
      <c r="C17" s="89" t="inlineStr"/>
      <c r="D17" s="89" t="inlineStr">
        <is>
          <t>Day 25,54</t>
        </is>
      </c>
      <c r="E17" s="90" t="inlineStr">
        <is>
          <t>P=I²R (power); electron speed in H orbit=c/137</t>
        </is>
      </c>
      <c r="F17" s="89" t="inlineStr"/>
      <c r="G17" s="89" t="inlineStr"/>
      <c r="H17" s="90" t="inlineStr"/>
    </row>
    <row r="18" ht="30" customHeight="1">
      <c r="A18" s="91" t="inlineStr">
        <is>
          <t>Biology</t>
        </is>
      </c>
      <c r="B18" s="92" t="inlineStr">
        <is>
          <t>Photoperiodism (Garner &amp; Allard), Ginger=underground stem</t>
        </is>
      </c>
      <c r="C18" s="91" t="inlineStr"/>
      <c r="D18" s="91" t="inlineStr">
        <is>
          <t>Day 40,54</t>
        </is>
      </c>
      <c r="E18" s="92" t="inlineStr">
        <is>
          <t>Photoperiodism discovered by Garner &amp; Allard; Ginger has nodes</t>
        </is>
      </c>
      <c r="F18" s="91" t="inlineStr"/>
      <c r="G18" s="91" t="inlineStr"/>
      <c r="H18" s="92" t="inlineStr"/>
    </row>
    <row r="19" ht="30" customHeight="1">
      <c r="A19" s="91" t="inlineStr">
        <is>
          <t>Biology</t>
        </is>
      </c>
      <c r="B19" s="92" t="inlineStr">
        <is>
          <t>Lymphocytes=immunity, Yeast=budding, Diaphragm flattened</t>
        </is>
      </c>
      <c r="C19" s="91" t="inlineStr"/>
      <c r="D19" s="91" t="inlineStr">
        <is>
          <t>Day 41,54</t>
        </is>
      </c>
      <c r="E19" s="92" t="inlineStr">
        <is>
          <t>Lymphocytes=most important for immunity; Yeast=asexual by budding</t>
        </is>
      </c>
      <c r="F19" s="91" t="inlineStr"/>
      <c r="G19" s="91" t="inlineStr"/>
      <c r="H19" s="92" t="inlineStr"/>
    </row>
    <row r="20" ht="30" customHeight="1">
      <c r="A20" s="91" t="inlineStr">
        <is>
          <t>Biology</t>
        </is>
      </c>
      <c r="B20" s="92" t="inlineStr">
        <is>
          <t>Anther=pollen, Vas deferens=male organ, Antacid=indigestion</t>
        </is>
      </c>
      <c r="C20" s="91" t="inlineStr"/>
      <c r="D20" s="91" t="inlineStr">
        <is>
          <t>Day 54</t>
        </is>
      </c>
      <c r="E20" s="92" t="inlineStr">
        <is>
          <t>Vas deferens=male (NOT female); Anther contains pollen grains</t>
        </is>
      </c>
      <c r="F20" s="91" t="inlineStr"/>
      <c r="G20" s="91" t="inlineStr"/>
      <c r="H20" s="92" t="inlineStr"/>
    </row>
    <row r="21" ht="30" customHeight="1">
      <c r="A21" s="93" t="inlineStr">
        <is>
          <t>Current Affs</t>
        </is>
      </c>
      <c r="B21" s="94" t="inlineStr">
        <is>
          <t>ISRO Missions: Gaganyaan, Aditya-L1</t>
        </is>
      </c>
      <c r="C21" s="93" t="inlineStr"/>
      <c r="D21" s="93" t="inlineStr">
        <is>
          <t>Day 29</t>
        </is>
      </c>
      <c r="E21" s="94" t="inlineStr">
        <is>
          <t>Gaganyaan=India's human spaceflight; Aditya-L1=solar observation</t>
        </is>
      </c>
      <c r="F21" s="93" t="inlineStr"/>
      <c r="G21" s="93" t="inlineStr"/>
      <c r="H21" s="94" t="inlineStr"/>
    </row>
    <row r="22" ht="30" customHeight="1">
      <c r="A22" s="93" t="inlineStr">
        <is>
          <t>Current Affs</t>
        </is>
      </c>
      <c r="B22" s="94" t="inlineStr">
        <is>
          <t>G7/G20, UPI International, New Government Schemes</t>
        </is>
      </c>
      <c r="C22" s="93" t="inlineStr"/>
      <c r="D22" s="93" t="inlineStr">
        <is>
          <t>Day 46,52</t>
        </is>
      </c>
      <c r="E22" s="94" t="inlineStr">
        <is>
          <t>UPI now active in multiple countries; check for new launches</t>
        </is>
      </c>
      <c r="F22" s="93" t="inlineStr"/>
      <c r="G22" s="93" t="inlineStr"/>
      <c r="H22" s="94" t="inlineStr"/>
    </row>
    <row r="23" ht="30" customHeight="1">
      <c r="A23" s="93" t="inlineStr">
        <is>
          <t>Current Affs</t>
        </is>
      </c>
      <c r="B23" s="94" t="inlineStr">
        <is>
          <t>Nobel Prize Winners, Bihar Developments</t>
        </is>
      </c>
      <c r="C23" s="93" t="inlineStr"/>
      <c r="D23" s="93" t="inlineStr">
        <is>
          <t>Day 32</t>
        </is>
      </c>
      <c r="E23" s="94" t="inlineStr">
        <is>
          <t>Update with latest Nobel Prize winners before exam</t>
        </is>
      </c>
      <c r="F23" s="93" t="inlineStr"/>
      <c r="G23" s="93" t="inlineStr"/>
      <c r="H23" s="94" t="inlineStr"/>
    </row>
    <row r="24" ht="30" customHeight="1">
      <c r="A24" s="95" t="inlineStr">
        <is>
          <t>Bihar GK</t>
        </is>
      </c>
      <c r="B24" s="96" t="inlineStr">
        <is>
          <t>Famous Personalities: JP Narayan, Rajendra Prasad</t>
        </is>
      </c>
      <c r="C24" s="95" t="inlineStr"/>
      <c r="D24" s="95" t="inlineStr">
        <is>
          <t>Day 47,110</t>
        </is>
      </c>
      <c r="E24" s="96" t="inlineStr">
        <is>
          <t>JP Narayan=Bihar Socialist Party co-founder; Rajendra Prasad=Champaran</t>
        </is>
      </c>
      <c r="F24" s="95" t="inlineStr"/>
      <c r="G24" s="95" t="inlineStr"/>
      <c r="H24" s="96" t="inlineStr"/>
    </row>
    <row r="25" ht="30" customHeight="1">
      <c r="A25" s="95" t="inlineStr">
        <is>
          <t>Bihar GK</t>
        </is>
      </c>
      <c r="B25" s="96" t="inlineStr">
        <is>
          <t>Rivers: Ganga, Kosi, Gandak, Sone</t>
        </is>
      </c>
      <c r="C25" s="95" t="inlineStr"/>
      <c r="D25" s="95" t="inlineStr">
        <is>
          <t>Day 15,110</t>
        </is>
      </c>
      <c r="E25" s="96" t="inlineStr">
        <is>
          <t>Kosi=Bihar's sorrow; Sone=major south tributary of Ganga</t>
        </is>
      </c>
      <c r="F25" s="95" t="inlineStr"/>
      <c r="G25" s="95" t="inlineStr"/>
      <c r="H25" s="96" t="inlineStr"/>
    </row>
    <row r="26" ht="30" customHeight="1">
      <c r="A26" s="95" t="inlineStr">
        <is>
          <t>Bihar GK</t>
        </is>
      </c>
      <c r="B26" s="96" t="inlineStr">
        <is>
          <t>First Bhojpuri Film, Silent Valley, Max Urbanization</t>
        </is>
      </c>
      <c r="C26" s="95" t="inlineStr"/>
      <c r="D26" s="95" t="inlineStr">
        <is>
          <t>Day 110</t>
        </is>
      </c>
      <c r="E26" s="96" t="inlineStr">
        <is>
          <t>First Bhojpuri film=Ganga Maiya Tohe Piyari Chadhaibo; Goa=max urban</t>
        </is>
      </c>
      <c r="F26" s="95" t="inlineStr"/>
      <c r="G26" s="95" t="inlineStr"/>
      <c r="H26" s="9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9000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0" customWidth="1" min="3" max="3"/>
    <col width="10" customWidth="1" min="4" max="4"/>
    <col width="16" customWidth="1" min="5" max="5"/>
    <col width="32" customWidth="1" min="6" max="6"/>
  </cols>
  <sheetData>
    <row r="1" ht="28" customHeight="1">
      <c r="A1" s="97" t="inlineStr">
        <is>
          <t>CS TOPIC MASTERY CHECKLIST — Track Your Level (1=Concept, 2=PYQ, 3=Notes, 4=Recall)</t>
        </is>
      </c>
    </row>
    <row r="2" ht="30" customHeight="1">
      <c r="A2" s="73" t="inlineStr">
        <is>
          <t>Unit</t>
        </is>
      </c>
      <c r="B2" s="73" t="inlineStr">
        <is>
          <t>Sub-Topic</t>
        </is>
      </c>
      <c r="C2" s="73" t="inlineStr">
        <is>
          <t>Study
Day</t>
        </is>
      </c>
      <c r="D2" s="73" t="inlineStr">
        <is>
          <t>Level
(1-4)</t>
        </is>
      </c>
      <c r="E2" s="73" t="inlineStr">
        <is>
          <t>PYQ Count
(All Papers)</t>
        </is>
      </c>
      <c r="F2" s="73" t="inlineStr">
        <is>
          <t>Notes</t>
        </is>
      </c>
    </row>
    <row r="3" ht="28" customHeight="1">
      <c r="A3" s="98" t="inlineStr">
        <is>
          <t>OOP &amp; C++</t>
        </is>
      </c>
      <c r="B3" s="99" t="inlineStr">
        <is>
          <t>4 Pillars: Encapsulation, Inheritance, Polymorphism, Abstraction</t>
        </is>
      </c>
      <c r="C3" s="98" t="inlineStr">
        <is>
          <t>1-2</t>
        </is>
      </c>
      <c r="D3" s="98" t="inlineStr"/>
      <c r="E3" s="98" t="inlineStr">
        <is>
          <t>15+</t>
        </is>
      </c>
      <c r="F3" s="99" t="inlineStr"/>
    </row>
    <row r="4" ht="28" customHeight="1">
      <c r="A4" s="98" t="inlineStr">
        <is>
          <t>OOP &amp; C++</t>
        </is>
      </c>
      <c r="B4" s="99" t="inlineStr">
        <is>
          <t>Class vs Object, Instance vs Class Variables</t>
        </is>
      </c>
      <c r="C4" s="98" t="inlineStr">
        <is>
          <t>1</t>
        </is>
      </c>
      <c r="D4" s="98" t="inlineStr"/>
      <c r="E4" s="98" t="inlineStr">
        <is>
          <t>5+</t>
        </is>
      </c>
      <c r="F4" s="99" t="inlineStr"/>
    </row>
    <row r="5" ht="28" customHeight="1">
      <c r="A5" s="98" t="inlineStr">
        <is>
          <t>OOP &amp; C++</t>
        </is>
      </c>
      <c r="B5" s="99" t="inlineStr">
        <is>
          <t>Inheritance: 5 Types, C++ syntax, Java extends</t>
        </is>
      </c>
      <c r="C5" s="98" t="inlineStr">
        <is>
          <t>3</t>
        </is>
      </c>
      <c r="D5" s="98" t="inlineStr"/>
      <c r="E5" s="98" t="inlineStr">
        <is>
          <t>10+</t>
        </is>
      </c>
      <c r="F5" s="99" t="inlineStr"/>
    </row>
    <row r="6" ht="28" customHeight="1">
      <c r="A6" s="98" t="inlineStr">
        <is>
          <t>OOP &amp; C++</t>
        </is>
      </c>
      <c r="B6" s="99" t="inlineStr">
        <is>
          <t>Abstract Class = pure virtual function; Virtual vs Pure Virtual</t>
        </is>
      </c>
      <c r="C6" s="98" t="inlineStr">
        <is>
          <t>2,4</t>
        </is>
      </c>
      <c r="D6" s="98" t="inlineStr"/>
      <c r="E6" s="98" t="inlineStr">
        <is>
          <t>8+</t>
        </is>
      </c>
      <c r="F6" s="99" t="inlineStr"/>
    </row>
    <row r="7" ht="28" customHeight="1">
      <c r="A7" s="98" t="inlineStr">
        <is>
          <t>OOP &amp; C++</t>
        </is>
      </c>
      <c r="B7" s="99" t="inlineStr">
        <is>
          <t>Polymorphism: Overloading (compile-time) vs Overriding (runtime)</t>
        </is>
      </c>
      <c r="C7" s="98" t="inlineStr">
        <is>
          <t>5</t>
        </is>
      </c>
      <c r="D7" s="98" t="inlineStr"/>
      <c r="E7" s="98" t="inlineStr">
        <is>
          <t>8+</t>
        </is>
      </c>
      <c r="F7" s="99" t="inlineStr"/>
    </row>
    <row r="8" ht="28" customHeight="1">
      <c r="A8" s="98" t="inlineStr">
        <is>
          <t>OOP &amp; C++</t>
        </is>
      </c>
      <c r="B8" s="99" t="inlineStr">
        <is>
          <t>Constructors: Default/Parameterized/Copy; Destructor</t>
        </is>
      </c>
      <c r="C8" s="98" t="inlineStr">
        <is>
          <t>6</t>
        </is>
      </c>
      <c r="D8" s="98" t="inlineStr"/>
      <c r="E8" s="98" t="inlineStr">
        <is>
          <t>6+</t>
        </is>
      </c>
      <c r="F8" s="99" t="inlineStr"/>
    </row>
    <row r="9" ht="28" customHeight="1">
      <c r="A9" s="98" t="inlineStr">
        <is>
          <t>OOP &amp; C++</t>
        </is>
      </c>
      <c r="B9" s="99" t="inlineStr">
        <is>
          <t>struct (default public) vs class (default private)</t>
        </is>
      </c>
      <c r="C9" s="98" t="inlineStr">
        <is>
          <t>13</t>
        </is>
      </c>
      <c r="D9" s="98" t="inlineStr"/>
      <c r="E9" s="98" t="inlineStr">
        <is>
          <t>3+</t>
        </is>
      </c>
      <c r="F9" s="99" t="inlineStr"/>
    </row>
    <row r="10" ht="28" customHeight="1">
      <c r="A10" s="98" t="inlineStr">
        <is>
          <t>OOP &amp; C++</t>
        </is>
      </c>
      <c r="B10" s="99" t="inlineStr">
        <is>
          <t>delete NULL = safe; delete vs delete[]; new vs malloc</t>
        </is>
      </c>
      <c r="C10" s="98" t="inlineStr">
        <is>
          <t>9</t>
        </is>
      </c>
      <c r="D10" s="98" t="inlineStr"/>
      <c r="E10" s="98" t="inlineStr">
        <is>
          <t>4+</t>
        </is>
      </c>
      <c r="F10" s="99" t="inlineStr"/>
    </row>
    <row r="11" ht="28" customHeight="1">
      <c r="A11" s="98" t="inlineStr">
        <is>
          <t>OOP &amp; C++</t>
        </is>
      </c>
      <c r="B11" s="99" t="inlineStr">
        <is>
          <t>File modes: ios::trunc/in/out/app/binary; Ctrl+F9</t>
        </is>
      </c>
      <c r="C11" s="98" t="inlineStr">
        <is>
          <t>11</t>
        </is>
      </c>
      <c r="D11" s="98" t="inlineStr"/>
      <c r="E11" s="98" t="inlineStr">
        <is>
          <t>4+</t>
        </is>
      </c>
      <c r="F11" s="99" t="inlineStr"/>
    </row>
    <row r="12" ht="28" customHeight="1">
      <c r="A12" s="98" t="inlineStr">
        <is>
          <t>OOP &amp; C++</t>
        </is>
      </c>
      <c r="B12" s="99" t="inlineStr">
        <is>
          <t>Inline functions = SMALL &amp; SIMPLE (not large/complex)</t>
        </is>
      </c>
      <c r="C12" s="98" t="inlineStr">
        <is>
          <t>12</t>
        </is>
      </c>
      <c r="D12" s="98" t="inlineStr"/>
      <c r="E12" s="98" t="inlineStr">
        <is>
          <t>3+</t>
        </is>
      </c>
      <c r="F12" s="99" t="inlineStr"/>
    </row>
    <row r="13" ht="28" customHeight="1">
      <c r="A13" s="83" t="inlineStr">
        <is>
          <t>DSA</t>
        </is>
      </c>
      <c r="B13" s="84" t="inlineStr">
        <is>
          <t>Stack: LIFO, Applications (String rev, Backtrack, Eval, Recursion)</t>
        </is>
      </c>
      <c r="C13" s="83" t="inlineStr">
        <is>
          <t>16</t>
        </is>
      </c>
      <c r="D13" s="83" t="inlineStr"/>
      <c r="E13" s="83" t="inlineStr">
        <is>
          <t>10+</t>
        </is>
      </c>
      <c r="F13" s="84" t="inlineStr"/>
    </row>
    <row r="14" ht="28" customHeight="1">
      <c r="A14" s="83" t="inlineStr">
        <is>
          <t>DSA</t>
        </is>
      </c>
      <c r="B14" s="84" t="inlineStr">
        <is>
          <t>Stack: NOT application = Async data transfer (that's Queue)</t>
        </is>
      </c>
      <c r="C14" s="83" t="inlineStr">
        <is>
          <t>16</t>
        </is>
      </c>
      <c r="D14" s="83" t="inlineStr"/>
      <c r="E14" s="83" t="inlineStr">
        <is>
          <t>3+</t>
        </is>
      </c>
      <c r="F14" s="84" t="inlineStr"/>
    </row>
    <row r="15" ht="28" customHeight="1">
      <c r="A15" s="83" t="inlineStr">
        <is>
          <t>DSA</t>
        </is>
      </c>
      <c r="B15" s="84" t="inlineStr">
        <is>
          <t>Infix→Postfix: uses Stack, O(N) time complexity</t>
        </is>
      </c>
      <c r="C15" s="83" t="inlineStr">
        <is>
          <t>17</t>
        </is>
      </c>
      <c r="D15" s="83" t="inlineStr"/>
      <c r="E15" s="83" t="inlineStr">
        <is>
          <t>4+</t>
        </is>
      </c>
      <c r="F15" s="84" t="inlineStr"/>
    </row>
    <row r="16" ht="28" customHeight="1">
      <c r="A16" s="83" t="inlineStr">
        <is>
          <t>DSA</t>
        </is>
      </c>
      <c r="B16" s="84" t="inlineStr">
        <is>
          <t>Queue: FIFO; Underflow before delete, Overflow before insert</t>
        </is>
      </c>
      <c r="C16" s="83" t="inlineStr">
        <is>
          <t>18</t>
        </is>
      </c>
      <c r="D16" s="83" t="inlineStr"/>
      <c r="E16" s="83" t="inlineStr">
        <is>
          <t>6+</t>
        </is>
      </c>
      <c r="F16" s="84" t="inlineStr"/>
    </row>
    <row r="17" ht="28" customHeight="1">
      <c r="A17" s="83" t="inlineStr">
        <is>
          <t>DSA</t>
        </is>
      </c>
      <c r="B17" s="84" t="inlineStr">
        <is>
          <t>Circular Queue = Ring Buffer; Empty: front=rear=-1</t>
        </is>
      </c>
      <c r="C17" s="83" t="inlineStr">
        <is>
          <t>19</t>
        </is>
      </c>
      <c r="D17" s="83" t="inlineStr"/>
      <c r="E17" s="83" t="inlineStr">
        <is>
          <t>5+</t>
        </is>
      </c>
      <c r="F17" s="84" t="inlineStr"/>
    </row>
    <row r="18" ht="28" customHeight="1">
      <c r="A18" s="83" t="inlineStr">
        <is>
          <t>DSA</t>
        </is>
      </c>
      <c r="B18" s="84" t="inlineStr">
        <is>
          <t>Priority Queue: best = Binary Heap</t>
        </is>
      </c>
      <c r="C18" s="83" t="inlineStr">
        <is>
          <t>20</t>
        </is>
      </c>
      <c r="D18" s="83" t="inlineStr"/>
      <c r="E18" s="83" t="inlineStr">
        <is>
          <t>3+</t>
        </is>
      </c>
      <c r="F18" s="84" t="inlineStr"/>
    </row>
    <row r="19" ht="28" customHeight="1">
      <c r="A19" s="83" t="inlineStr">
        <is>
          <t>DSA</t>
        </is>
      </c>
      <c r="B19" s="84" t="inlineStr">
        <is>
          <t>BST: Left&lt;Root&lt;Right; C(4)=14 distinct BSTs</t>
        </is>
      </c>
      <c r="C19" s="83" t="inlineStr">
        <is>
          <t>25</t>
        </is>
      </c>
      <c r="D19" s="83" t="inlineStr"/>
      <c r="E19" s="83" t="inlineStr">
        <is>
          <t>8+</t>
        </is>
      </c>
      <c r="F19" s="84" t="inlineStr"/>
    </row>
    <row r="20" ht="28" customHeight="1">
      <c r="A20" s="83" t="inlineStr">
        <is>
          <t>DSA</t>
        </is>
      </c>
      <c r="B20" s="84" t="inlineStr">
        <is>
          <t>Tree Traversals: Pre/In/Post; NO 'Randomized traversal'</t>
        </is>
      </c>
      <c r="C20" s="83" t="inlineStr">
        <is>
          <t>24</t>
        </is>
      </c>
      <c r="D20" s="83" t="inlineStr"/>
      <c r="E20" s="83" t="inlineStr">
        <is>
          <t>5+</t>
        </is>
      </c>
      <c r="F20" s="84" t="inlineStr"/>
    </row>
    <row r="21" ht="28" customHeight="1">
      <c r="A21" s="83" t="inlineStr">
        <is>
          <t>DSA</t>
        </is>
      </c>
      <c r="B21" s="84" t="inlineStr">
        <is>
          <t>Red-Black Tree: root=BLACK; new non-root=RED</t>
        </is>
      </c>
      <c r="C21" s="83" t="inlineStr">
        <is>
          <t>26</t>
        </is>
      </c>
      <c r="D21" s="83" t="inlineStr"/>
      <c r="E21" s="83" t="inlineStr">
        <is>
          <t>3+</t>
        </is>
      </c>
      <c r="F21" s="84" t="inlineStr"/>
    </row>
    <row r="22" ht="28" customHeight="1">
      <c r="A22" s="83" t="inlineStr">
        <is>
          <t>DSA</t>
        </is>
      </c>
      <c r="B22" s="84" t="inlineStr">
        <is>
          <t>Spanning Tree: N vertices → N-1 edges</t>
        </is>
      </c>
      <c r="C22" s="83" t="inlineStr">
        <is>
          <t>26</t>
        </is>
      </c>
      <c r="D22" s="83" t="inlineStr"/>
      <c r="E22" s="83" t="inlineStr">
        <is>
          <t>3+</t>
        </is>
      </c>
      <c r="F22" s="84" t="inlineStr"/>
    </row>
    <row r="23" ht="28" customHeight="1">
      <c r="A23" s="83" t="inlineStr">
        <is>
          <t>DSA</t>
        </is>
      </c>
      <c r="B23" s="84" t="inlineStr">
        <is>
          <t>Big-O: Binary search O(logN), Merge sort O(NlogN), Bubble O(N²)</t>
        </is>
      </c>
      <c r="C23" s="83" t="inlineStr">
        <is>
          <t>29</t>
        </is>
      </c>
      <c r="D23" s="83" t="inlineStr"/>
      <c r="E23" s="83" t="inlineStr">
        <is>
          <t>6+</t>
        </is>
      </c>
      <c r="F23" s="84" t="inlineStr"/>
    </row>
    <row r="24" ht="28" customHeight="1">
      <c r="A24" s="83" t="inlineStr">
        <is>
          <t>DSA</t>
        </is>
      </c>
      <c r="B24" s="84" t="inlineStr">
        <is>
          <t>Merge Sort &amp; Quick Sort: BOTH = Divide &amp; Conquer</t>
        </is>
      </c>
      <c r="C24" s="83" t="inlineStr">
        <is>
          <t>31</t>
        </is>
      </c>
      <c r="D24" s="83" t="inlineStr"/>
      <c r="E24" s="83" t="inlineStr">
        <is>
          <t>4+</t>
        </is>
      </c>
      <c r="F24" s="84" t="inlineStr"/>
    </row>
    <row r="25" ht="28" customHeight="1">
      <c r="A25" s="83" t="inlineStr">
        <is>
          <t>DSA</t>
        </is>
      </c>
      <c r="B25" s="84" t="inlineStr">
        <is>
          <t>Shortest Path=Polynomial; TSP=NP-Complete</t>
        </is>
      </c>
      <c r="C25" s="83" t="inlineStr">
        <is>
          <t>33</t>
        </is>
      </c>
      <c r="D25" s="83" t="inlineStr"/>
      <c r="E25" s="83" t="inlineStr">
        <is>
          <t>3+</t>
        </is>
      </c>
      <c r="F25" s="84" t="inlineStr"/>
    </row>
    <row r="26" ht="28" customHeight="1">
      <c r="A26" s="85" t="inlineStr">
        <is>
          <t>DBMS</t>
        </is>
      </c>
      <c r="B26" s="86" t="inlineStr">
        <is>
          <t>DBMS = Multi-user (NOT single-user); Google NOT a DBMS</t>
        </is>
      </c>
      <c r="C26" s="85" t="inlineStr">
        <is>
          <t>36</t>
        </is>
      </c>
      <c r="D26" s="85" t="inlineStr"/>
      <c r="E26" s="85" t="inlineStr">
        <is>
          <t>4+</t>
        </is>
      </c>
      <c r="F26" s="86" t="inlineStr"/>
    </row>
    <row r="27" ht="28" customHeight="1">
      <c r="A27" s="85" t="inlineStr">
        <is>
          <t>DBMS</t>
        </is>
      </c>
      <c r="B27" s="86" t="inlineStr">
        <is>
          <t>Keys: Only 1 PK per table; FK references PK of other table</t>
        </is>
      </c>
      <c r="C27" s="85" t="inlineStr">
        <is>
          <t>37</t>
        </is>
      </c>
      <c r="D27" s="85" t="inlineStr"/>
      <c r="E27" s="85" t="inlineStr">
        <is>
          <t>6+</t>
        </is>
      </c>
      <c r="F27" s="86" t="inlineStr"/>
    </row>
    <row r="28" ht="28" customHeight="1">
      <c r="A28" s="85" t="inlineStr">
        <is>
          <t>DBMS</t>
        </is>
      </c>
      <c r="B28" s="86" t="inlineStr">
        <is>
          <t>Normalization: 3NF=adequate RDBMS; 2NF=no partial deps</t>
        </is>
      </c>
      <c r="C28" s="85" t="inlineStr">
        <is>
          <t>39</t>
        </is>
      </c>
      <c r="D28" s="85" t="inlineStr"/>
      <c r="E28" s="85" t="inlineStr">
        <is>
          <t>5+</t>
        </is>
      </c>
      <c r="F28" s="86" t="inlineStr"/>
    </row>
    <row r="29" ht="28" customHeight="1">
      <c r="A29" s="85" t="inlineStr">
        <is>
          <t>DBMS</t>
        </is>
      </c>
      <c r="B29" s="86" t="inlineStr">
        <is>
          <t>SQL: ORDER BY default=ASC; HAVING=for groups after GROUP BY</t>
        </is>
      </c>
      <c r="C29" s="85" t="inlineStr">
        <is>
          <t>41</t>
        </is>
      </c>
      <c r="D29" s="85" t="inlineStr"/>
      <c r="E29" s="85" t="inlineStr">
        <is>
          <t>6+</t>
        </is>
      </c>
      <c r="F29" s="86" t="inlineStr"/>
    </row>
    <row r="30" ht="28" customHeight="1">
      <c r="A30" s="85" t="inlineStr">
        <is>
          <t>DBMS</t>
        </is>
      </c>
      <c r="B30" s="86" t="inlineStr">
        <is>
          <t>COMMIT=permanent; ROLLBACK=undo; TRUNCATE no rollback</t>
        </is>
      </c>
      <c r="C30" s="85" t="inlineStr">
        <is>
          <t>40</t>
        </is>
      </c>
      <c r="D30" s="85" t="inlineStr"/>
      <c r="E30" s="85" t="inlineStr">
        <is>
          <t>4+</t>
        </is>
      </c>
      <c r="F30" s="86" t="inlineStr"/>
    </row>
    <row r="31" ht="28" customHeight="1">
      <c r="A31" s="85" t="inlineStr">
        <is>
          <t>DBMS</t>
        </is>
      </c>
      <c r="B31" s="86" t="inlineStr">
        <is>
          <t>NOT constraint: UNION; NOT aggregate: COMPUTE</t>
        </is>
      </c>
      <c r="C31" s="85" t="inlineStr">
        <is>
          <t>41</t>
        </is>
      </c>
      <c r="D31" s="85" t="inlineStr"/>
      <c r="E31" s="85" t="inlineStr">
        <is>
          <t>4+</t>
        </is>
      </c>
      <c r="F31" s="86" t="inlineStr"/>
    </row>
    <row r="32" ht="28" customHeight="1">
      <c r="A32" s="85" t="inlineStr">
        <is>
          <t>DBMS</t>
        </is>
      </c>
      <c r="B32" s="86" t="inlineStr">
        <is>
          <t>ROUND(65.726,-1)=70; Views=Virtual tables</t>
        </is>
      </c>
      <c r="C32" s="85" t="inlineStr">
        <is>
          <t>57</t>
        </is>
      </c>
      <c r="D32" s="85" t="inlineStr"/>
      <c r="E32" s="85" t="inlineStr">
        <is>
          <t>3+</t>
        </is>
      </c>
      <c r="F32" s="86" t="inlineStr"/>
    </row>
    <row r="33" ht="28" customHeight="1">
      <c r="A33" s="87" t="inlineStr">
        <is>
          <t>Networks</t>
        </is>
      </c>
      <c r="B33" s="88" t="inlineStr">
        <is>
          <t>OSI=7 layers; TCP/IP=4 layers; Host-to-Host=Transport layer</t>
        </is>
      </c>
      <c r="C33" s="87" t="inlineStr">
        <is>
          <t>43,44</t>
        </is>
      </c>
      <c r="D33" s="87" t="inlineStr"/>
      <c r="E33" s="87" t="inlineStr">
        <is>
          <t>8+</t>
        </is>
      </c>
      <c r="F33" s="88" t="inlineStr"/>
    </row>
    <row r="34" ht="28" customHeight="1">
      <c r="A34" s="87" t="inlineStr">
        <is>
          <t>Networks</t>
        </is>
      </c>
      <c r="B34" s="88" t="inlineStr">
        <is>
          <t>IPv4=32 bits; IPv6=128 bits (NOT 32/64/256); Flow label=KEPT</t>
        </is>
      </c>
      <c r="C34" s="87" t="inlineStr">
        <is>
          <t>45</t>
        </is>
      </c>
      <c r="D34" s="87" t="inlineStr"/>
      <c r="E34" s="87" t="inlineStr">
        <is>
          <t>5+</t>
        </is>
      </c>
      <c r="F34" s="88" t="inlineStr"/>
    </row>
    <row r="35" ht="28" customHeight="1">
      <c r="A35" s="87" t="inlineStr">
        <is>
          <t>Networks</t>
        </is>
      </c>
      <c r="B35" s="88" t="inlineStr">
        <is>
          <t>TCP=connection-oriented; SMTP client=sending server; MQTT=IoT</t>
        </is>
      </c>
      <c r="C35" s="87" t="inlineStr">
        <is>
          <t>46</t>
        </is>
      </c>
      <c r="D35" s="87" t="inlineStr"/>
      <c r="E35" s="87" t="inlineStr">
        <is>
          <t>6+</t>
        </is>
      </c>
      <c r="F35" s="88" t="inlineStr"/>
    </row>
    <row r="36" ht="28" customHeight="1">
      <c r="A36" s="87" t="inlineStr">
        <is>
          <t>Networks</t>
        </is>
      </c>
      <c r="B36" s="88" t="inlineStr">
        <is>
          <t>Peer-to-peer=NOT topology; Star topology needs hub/controller</t>
        </is>
      </c>
      <c r="C36" s="87" t="inlineStr">
        <is>
          <t>47</t>
        </is>
      </c>
      <c r="D36" s="87" t="inlineStr"/>
      <c r="E36" s="87" t="inlineStr">
        <is>
          <t>4+</t>
        </is>
      </c>
      <c r="F36" s="88" t="inlineStr"/>
    </row>
    <row r="37" ht="28" customHeight="1">
      <c r="A37" s="87" t="inlineStr">
        <is>
          <t>Networks</t>
        </is>
      </c>
      <c r="B37" s="88" t="inlineStr">
        <is>
          <t>Optical fiber=highest speed+immune to EM interference</t>
        </is>
      </c>
      <c r="C37" s="87" t="inlineStr">
        <is>
          <t>48</t>
        </is>
      </c>
      <c r="D37" s="87" t="inlineStr"/>
      <c r="E37" s="87" t="inlineStr">
        <is>
          <t>4+</t>
        </is>
      </c>
      <c r="F37" s="88" t="inlineStr"/>
    </row>
    <row r="38" ht="28" customHeight="1">
      <c r="A38" s="87" t="inlineStr">
        <is>
          <t>Networks</t>
        </is>
      </c>
      <c r="B38" s="88" t="inlineStr">
        <is>
          <t>Private key=kept by RECEIVER (asymmetric cryptography)</t>
        </is>
      </c>
      <c r="C38" s="87" t="inlineStr">
        <is>
          <t>48</t>
        </is>
      </c>
      <c r="D38" s="87" t="inlineStr"/>
      <c r="E38" s="87" t="inlineStr">
        <is>
          <t>3+</t>
        </is>
      </c>
      <c r="F38" s="88" t="inlineStr"/>
    </row>
    <row r="39" ht="28" customHeight="1">
      <c r="A39" s="91" t="inlineStr">
        <is>
          <t>Dig. Elec.</t>
        </is>
      </c>
      <c r="B39" s="92" t="inlineStr">
        <is>
          <t>Universal gates: NAND and NOR (BOTH)</t>
        </is>
      </c>
      <c r="C39" s="91" t="inlineStr">
        <is>
          <t>62</t>
        </is>
      </c>
      <c r="D39" s="91" t="inlineStr"/>
      <c r="E39" s="91" t="inlineStr">
        <is>
          <t>5+</t>
        </is>
      </c>
      <c r="F39" s="92" t="inlineStr"/>
    </row>
    <row r="40" ht="28" customHeight="1">
      <c r="A40" s="91" t="inlineStr">
        <is>
          <t>Dig. Elec.</t>
        </is>
      </c>
      <c r="B40" s="92" t="inlineStr">
        <is>
          <t>XNOR=same input=HIGH; XOR=different=HIGH; Half adder=Sum+Carry</t>
        </is>
      </c>
      <c r="C40" s="91" t="inlineStr">
        <is>
          <t>61,62</t>
        </is>
      </c>
      <c r="D40" s="91" t="inlineStr"/>
      <c r="E40" s="91" t="inlineStr">
        <is>
          <t>5+</t>
        </is>
      </c>
      <c r="F40" s="92" t="inlineStr"/>
    </row>
    <row r="41" ht="28" customHeight="1">
      <c r="A41" s="91" t="inlineStr">
        <is>
          <t>Dig. Elec.</t>
        </is>
      </c>
      <c r="B41" s="92" t="inlineStr">
        <is>
          <t>De Morgan's: (A+B)'=A'B'; Canonical: SOM and POM</t>
        </is>
      </c>
      <c r="C41" s="91" t="inlineStr">
        <is>
          <t>63</t>
        </is>
      </c>
      <c r="D41" s="91" t="inlineStr"/>
      <c r="E41" s="91" t="inlineStr">
        <is>
          <t>5+</t>
        </is>
      </c>
      <c r="F41" s="92" t="inlineStr"/>
    </row>
    <row r="42" ht="28" customHeight="1">
      <c r="A42" s="91" t="inlineStr">
        <is>
          <t>Dig. Elec.</t>
        </is>
      </c>
      <c r="B42" s="92" t="inlineStr">
        <is>
          <t>Boolean algebra applications=ALL THREE (Digital/Logic/Circuit)→D</t>
        </is>
      </c>
      <c r="C42" s="91" t="inlineStr">
        <is>
          <t>63</t>
        </is>
      </c>
      <c r="D42" s="91" t="inlineStr"/>
      <c r="E42" s="91" t="inlineStr">
        <is>
          <t>3+</t>
        </is>
      </c>
      <c r="F42" s="92" t="inlineStr"/>
    </row>
    <row r="43" ht="28" customHeight="1">
      <c r="A43" s="91" t="inlineStr">
        <is>
          <t>Dig. Elec.</t>
        </is>
      </c>
      <c r="B43" s="92" t="inlineStr">
        <is>
          <t>Decimal 1234→Hex=4D2; BCD max=9 (NOT 15); Booth's=Multiplication</t>
        </is>
      </c>
      <c r="C43" s="91" t="inlineStr">
        <is>
          <t>65</t>
        </is>
      </c>
      <c r="D43" s="91" t="inlineStr"/>
      <c r="E43" s="91" t="inlineStr">
        <is>
          <t>5+</t>
        </is>
      </c>
      <c r="F43" s="92" t="inlineStr"/>
    </row>
    <row r="44" ht="28" customHeight="1">
      <c r="A44" s="91" t="inlineStr">
        <is>
          <t>Dig. Elec.</t>
        </is>
      </c>
      <c r="B44" s="92" t="inlineStr">
        <is>
          <t>8:1 MUX=3 select lines; PLA=Programmable Logic Array</t>
        </is>
      </c>
      <c r="C44" s="91" t="inlineStr">
        <is>
          <t>66</t>
        </is>
      </c>
      <c r="D44" s="91" t="inlineStr"/>
      <c r="E44" s="91" t="inlineStr">
        <is>
          <t>4+</t>
        </is>
      </c>
      <c r="F44" s="92" t="inlineStr"/>
    </row>
    <row r="45" ht="28" customHeight="1">
      <c r="A45" s="91" t="inlineStr">
        <is>
          <t>Dig. Elec.</t>
        </is>
      </c>
      <c r="B45" s="92" t="inlineStr">
        <is>
          <t>ROM types: MROM/PROM/EPROM (all valid→D); Error codes→D</t>
        </is>
      </c>
      <c r="C45" s="91" t="inlineStr">
        <is>
          <t>66</t>
        </is>
      </c>
      <c r="D45" s="91" t="inlineStr"/>
      <c r="E45" s="91" t="inlineStr">
        <is>
          <t>3+</t>
        </is>
      </c>
      <c r="F45" s="92" t="inlineStr"/>
    </row>
    <row r="46" ht="28" customHeight="1">
      <c r="A46" s="89" t="inlineStr">
        <is>
          <t>OS</t>
        </is>
      </c>
      <c r="B46" s="90" t="inlineStr">
        <is>
          <t>Fragmentation=PROBLEM (not technique); Compaction=SOLUTION</t>
        </is>
      </c>
      <c r="C46" s="89" t="inlineStr">
        <is>
          <t>70</t>
        </is>
      </c>
      <c r="D46" s="89" t="inlineStr"/>
      <c r="E46" s="89" t="inlineStr">
        <is>
          <t>5+</t>
        </is>
      </c>
      <c r="F46" s="90" t="inlineStr"/>
    </row>
    <row r="47" ht="28" customHeight="1">
      <c r="A47" s="89" t="inlineStr">
        <is>
          <t>OS</t>
        </is>
      </c>
      <c r="B47" s="90" t="inlineStr">
        <is>
          <t>TLB=Associative Cache; 4KB page=12-bit offset (2¹²=4096)</t>
        </is>
      </c>
      <c r="C47" s="89" t="inlineStr">
        <is>
          <t>69</t>
        </is>
      </c>
      <c r="D47" s="89" t="inlineStr"/>
      <c r="E47" s="89" t="inlineStr">
        <is>
          <t>5+</t>
        </is>
      </c>
      <c r="F47" s="90" t="inlineStr"/>
    </row>
    <row r="48" ht="28" customHeight="1">
      <c r="A48" s="89" t="inlineStr">
        <is>
          <t>OS</t>
        </is>
      </c>
      <c r="B48" s="90" t="inlineStr">
        <is>
          <t>Thrashing=excessive paging activity</t>
        </is>
      </c>
      <c r="C48" s="89" t="inlineStr">
        <is>
          <t>70</t>
        </is>
      </c>
      <c r="D48" s="89" t="inlineStr"/>
      <c r="E48" s="89" t="inlineStr">
        <is>
          <t>3+</t>
        </is>
      </c>
      <c r="F48" s="90" t="inlineStr"/>
    </row>
    <row r="49" ht="28" customHeight="1">
      <c r="A49" s="89" t="inlineStr">
        <is>
          <t>OS</t>
        </is>
      </c>
      <c r="B49" s="90" t="inlineStr">
        <is>
          <t>Threads share: code+data sections; each has OWN stack</t>
        </is>
      </c>
      <c r="C49" s="89" t="inlineStr">
        <is>
          <t>73</t>
        </is>
      </c>
      <c r="D49" s="89" t="inlineStr"/>
      <c r="E49" s="89" t="inlineStr">
        <is>
          <t>4+</t>
        </is>
      </c>
      <c r="F49" s="90" t="inlineStr"/>
    </row>
    <row r="50" ht="28" customHeight="1">
      <c r="A50" s="89" t="inlineStr">
        <is>
          <t>OS</t>
        </is>
      </c>
      <c r="B50" s="90" t="inlineStr">
        <is>
          <t>FCFS disk scheduling=sum of absolute head position differences</t>
        </is>
      </c>
      <c r="C50" s="89" t="inlineStr">
        <is>
          <t>71</t>
        </is>
      </c>
      <c r="D50" s="89" t="inlineStr"/>
      <c r="E50" s="89" t="inlineStr">
        <is>
          <t>4+</t>
        </is>
      </c>
      <c r="F50" s="90" t="inlineStr"/>
    </row>
    <row r="51" ht="28" customHeight="1">
      <c r="A51" s="89" t="inlineStr">
        <is>
          <t>OS</t>
        </is>
      </c>
      <c r="B51" s="90" t="inlineStr">
        <is>
          <t>Memory-mapped I/O=shared address space; I/O-mapped=separate</t>
        </is>
      </c>
      <c r="C51" s="89" t="inlineStr">
        <is>
          <t>72</t>
        </is>
      </c>
      <c r="D51" s="89" t="inlineStr"/>
      <c r="E51" s="89" t="inlineStr">
        <is>
          <t>3+</t>
        </is>
      </c>
      <c r="F51" s="90" t="inlineStr"/>
    </row>
    <row r="52" ht="28" customHeight="1">
      <c r="A52" s="89" t="inlineStr">
        <is>
          <t>OS</t>
        </is>
      </c>
      <c r="B52" s="90" t="inlineStr">
        <is>
          <t>Interrupt types: HW/SW/Trap; NOT 'Memory interrupt'</t>
        </is>
      </c>
      <c r="C52" s="89" t="inlineStr">
        <is>
          <t>68</t>
        </is>
      </c>
      <c r="D52" s="89" t="inlineStr"/>
      <c r="E52" s="89" t="inlineStr">
        <is>
          <t>3+</t>
        </is>
      </c>
      <c r="F52" s="90" t="inlineStr"/>
    </row>
    <row r="53" ht="28" customHeight="1">
      <c r="A53" s="93" t="inlineStr">
        <is>
          <t>Arch.</t>
        </is>
      </c>
      <c r="B53" s="94" t="inlineStr">
        <is>
          <t>Control unit generates CONTROL SIGNALS; CPU=brain</t>
        </is>
      </c>
      <c r="C53" s="93" t="inlineStr">
        <is>
          <t>75</t>
        </is>
      </c>
      <c r="D53" s="93" t="inlineStr"/>
      <c r="E53" s="93" t="inlineStr">
        <is>
          <t>4+</t>
        </is>
      </c>
      <c r="F53" s="94" t="inlineStr"/>
    </row>
    <row r="54" ht="28" customHeight="1">
      <c r="A54" s="93" t="inlineStr">
        <is>
          <t>Arch.</t>
        </is>
      </c>
      <c r="B54" s="94" t="inlineStr">
        <is>
          <t>ADD X Y=Absolute addressing; Most common=Immediate</t>
        </is>
      </c>
      <c r="C54" s="93" t="inlineStr">
        <is>
          <t>76</t>
        </is>
      </c>
      <c r="D54" s="93" t="inlineStr"/>
      <c r="E54" s="93" t="inlineStr">
        <is>
          <t>3+</t>
        </is>
      </c>
      <c r="F54" s="94" t="inlineStr"/>
    </row>
    <row r="55" ht="28" customHeight="1">
      <c r="A55" s="93" t="inlineStr">
        <is>
          <t>Arch.</t>
        </is>
      </c>
      <c r="B55" s="94" t="inlineStr">
        <is>
          <t>Buffer registers=overcome speed difference; ASCII=keystrokes</t>
        </is>
      </c>
      <c r="C55" s="93" t="inlineStr">
        <is>
          <t>77</t>
        </is>
      </c>
      <c r="D55" s="93" t="inlineStr"/>
      <c r="E55" s="93" t="inlineStr">
        <is>
          <t>3+</t>
        </is>
      </c>
      <c r="F55" s="94" t="inlineStr"/>
    </row>
    <row r="56" ht="28" customHeight="1">
      <c r="A56" s="95" t="inlineStr">
        <is>
          <t>SW Eng.</t>
        </is>
      </c>
      <c r="B56" s="96" t="inlineStr">
        <is>
          <t>Verification=built right; Validation=right product being built</t>
        </is>
      </c>
      <c r="C56" s="95" t="inlineStr">
        <is>
          <t>80</t>
        </is>
      </c>
      <c r="D56" s="95" t="inlineStr"/>
      <c r="E56" s="95" t="inlineStr">
        <is>
          <t>3+</t>
        </is>
      </c>
      <c r="F56" s="96" t="inlineStr"/>
    </row>
    <row r="57" ht="28" customHeight="1">
      <c r="A57" s="95" t="inlineStr">
        <is>
          <t>SW Eng.</t>
        </is>
      </c>
      <c r="B57" s="96" t="inlineStr">
        <is>
          <t>Primary goal=meet requirements within BUDGET and SCHEDULE</t>
        </is>
      </c>
      <c r="C57" s="95" t="inlineStr">
        <is>
          <t>81</t>
        </is>
      </c>
      <c r="D57" s="95" t="inlineStr"/>
      <c r="E57" s="95" t="inlineStr">
        <is>
          <t>2+</t>
        </is>
      </c>
      <c r="F57" s="96" t="inlineStr"/>
    </row>
    <row r="58" ht="28" customHeight="1">
      <c r="A58" s="100" t="inlineStr">
        <is>
          <t>AI/IoT</t>
        </is>
      </c>
      <c r="B58" s="101" t="inlineStr">
        <is>
          <t>AI subfields: ML+Robotics+NLP (ALL THREE→Answer is D)</t>
        </is>
      </c>
      <c r="C58" s="100" t="inlineStr">
        <is>
          <t>82</t>
        </is>
      </c>
      <c r="D58" s="100" t="inlineStr"/>
      <c r="E58" s="100" t="inlineStr">
        <is>
          <t>3+</t>
        </is>
      </c>
      <c r="F58" s="101" t="inlineStr"/>
    </row>
    <row r="59" ht="28" customHeight="1">
      <c r="A59" s="100" t="inlineStr">
        <is>
          <t>AI/IoT</t>
        </is>
      </c>
      <c r="B59" s="101" t="inlineStr">
        <is>
          <t>IoT=MQTT protocol; Short-range=Bluetooth; Green H2=Electrolysis</t>
        </is>
      </c>
      <c r="C59" s="100" t="inlineStr">
        <is>
          <t>83</t>
        </is>
      </c>
      <c r="D59" s="100" t="inlineStr"/>
      <c r="E59" s="100" t="inlineStr">
        <is>
          <t>3+</t>
        </is>
      </c>
      <c r="F59" s="101" t="inlineStr"/>
    </row>
    <row r="60" ht="28" customHeight="1">
      <c r="A60" s="102" t="inlineStr">
        <is>
          <t>TOC/Web</t>
        </is>
      </c>
      <c r="B60" s="71" t="inlineStr">
        <is>
          <t>Halting problem=undecidable; Assembly=low-level; 5th gen=AI+NLP</t>
        </is>
      </c>
      <c r="C60" s="102" t="inlineStr">
        <is>
          <t>84</t>
        </is>
      </c>
      <c r="D60" s="102" t="inlineStr"/>
      <c r="E60" s="102" t="inlineStr">
        <is>
          <t>2+</t>
        </is>
      </c>
      <c r="F60" s="71" t="inlineStr"/>
    </row>
    <row r="61" ht="28" customHeight="1">
      <c r="A61" s="102" t="inlineStr">
        <is>
          <t>TOC/Web</t>
        </is>
      </c>
      <c r="B61" s="71" t="inlineStr">
        <is>
          <t>HTML=defines STRUCTURE; Server-side=PHP/Python/Node.js</t>
        </is>
      </c>
      <c r="C61" s="102" t="inlineStr">
        <is>
          <t>85</t>
        </is>
      </c>
      <c r="D61" s="102" t="inlineStr"/>
      <c r="E61" s="102" t="inlineStr">
        <is>
          <t>2+</t>
        </is>
      </c>
      <c r="F61" s="71" t="inlineStr"/>
    </row>
  </sheetData>
  <mergeCells count="1">
    <mergeCell ref="A1:F1"/>
  </mergeCells>
  <conditionalFormatting sqref="D3:D61">
    <cfRule type="colorScale" priority="1">
      <colorScale>
        <cfvo type="num" val="1"/>
        <cfvo type="num" val="2"/>
        <cfvo type="num" val="4"/>
        <color rgb="00FF9999"/>
        <color rgb="00FFFF99"/>
        <color rgb="0099FF99"/>
      </colorScale>
    </cfRule>
  </conditionalFormatting>
  <dataValidations count="1">
    <dataValidation sqref="D3:D61" showDropDown="0" showInputMessage="0" showErrorMessage="0" allowBlank="1" error="Enter level 1-4: 1=Concept Read, 2=PYQ Solved, 3=Notes Written, 4=Full Recall" type="whole" operator="between">
      <formula1>1</formula1>
      <formula2>4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6" customWidth="1" min="9" max="9"/>
    <col width="36" customWidth="1" min="10" max="10"/>
    <col width="36" customWidth="1" min="11" max="11"/>
  </cols>
  <sheetData>
    <row r="1" ht="28" customHeight="1">
      <c r="A1" s="103" t="inlineStr">
        <is>
          <t>MOCK TEST LOG — Track All 12 Mock Tests | Target: 130+/150</t>
        </is>
      </c>
    </row>
    <row r="2" ht="36" customHeight="1">
      <c r="A2" s="73" t="inlineStr">
        <is>
          <t>Mock
Test #</t>
        </is>
      </c>
      <c r="B2" s="73" t="inlineStr">
        <is>
          <t>Day</t>
        </is>
      </c>
      <c r="C2" s="73" t="inlineStr">
        <is>
          <t>Date</t>
        </is>
      </c>
      <c r="D2" s="73" t="inlineStr">
        <is>
          <t>Language
(/30)</t>
        </is>
      </c>
      <c r="E2" s="73" t="inlineStr">
        <is>
          <t>GS
(/40)</t>
        </is>
      </c>
      <c r="F2" s="73" t="inlineStr">
        <is>
          <t>CS
(/80)</t>
        </is>
      </c>
      <c r="G2" s="73" t="inlineStr">
        <is>
          <t>TOTAL
(/150)</t>
        </is>
      </c>
      <c r="H2" s="73" t="inlineStr">
        <is>
          <t>% Score</t>
        </is>
      </c>
      <c r="I2" s="73" t="inlineStr">
        <is>
          <t>Rank
Estimate</t>
        </is>
      </c>
      <c r="J2" s="73" t="inlineStr">
        <is>
          <t>Weak Topics Identified</t>
        </is>
      </c>
      <c r="K2" s="73" t="inlineStr">
        <is>
          <t>Action Plan for Next Test</t>
        </is>
      </c>
    </row>
    <row r="3" ht="36" customHeight="1">
      <c r="A3" s="104" t="inlineStr">
        <is>
          <t>Mock Test 1</t>
        </is>
      </c>
      <c r="B3" s="104" t="n">
        <v>60</v>
      </c>
      <c r="C3" s="104" t="inlineStr"/>
      <c r="D3" s="104" t="inlineStr"/>
      <c r="E3" s="104" t="inlineStr"/>
      <c r="F3" s="104" t="inlineStr"/>
      <c r="G3" s="104">
        <f>IF(D3+E3+F3=0,"",D3+E3+F3)</f>
        <v/>
      </c>
      <c r="H3" s="105">
        <f>IF(G3="","",G3/150*100)</f>
        <v/>
      </c>
      <c r="I3" s="104">
        <f>IF(G3="","",IF(G3&gt;=140,"Top 10 Rank",IF(G3&gt;=130,"Top 50 Rank",IF(G3&gt;=120,"Top 100 Rank","Need Improvement"))))</f>
        <v/>
      </c>
      <c r="J3" s="106" t="inlineStr"/>
      <c r="K3" s="106" t="inlineStr"/>
    </row>
    <row r="4" ht="36" customHeight="1">
      <c r="A4" s="107" t="inlineStr">
        <is>
          <t>Mock Test 2</t>
        </is>
      </c>
      <c r="B4" s="107" t="n">
        <v>92</v>
      </c>
      <c r="C4" s="107" t="inlineStr"/>
      <c r="D4" s="107" t="inlineStr"/>
      <c r="E4" s="107" t="inlineStr"/>
      <c r="F4" s="107" t="inlineStr"/>
      <c r="G4" s="107">
        <f>IF(D4+E4+F4=0,"",D4+E4+F4)</f>
        <v/>
      </c>
      <c r="H4" s="108">
        <f>IF(G4="","",G4/150*100)</f>
        <v/>
      </c>
      <c r="I4" s="107">
        <f>IF(G4="","",IF(G4&gt;=140,"Top 10 Rank",IF(G4&gt;=130,"Top 50 Rank",IF(G4&gt;=120,"Top 100 Rank","Need Improvement"))))</f>
        <v/>
      </c>
      <c r="J4" s="106" t="inlineStr"/>
      <c r="K4" s="106" t="inlineStr"/>
    </row>
    <row r="5" ht="36" customHeight="1">
      <c r="A5" s="104" t="inlineStr">
        <is>
          <t>Mock Test 3</t>
        </is>
      </c>
      <c r="B5" s="104" t="n">
        <v>107</v>
      </c>
      <c r="C5" s="104" t="inlineStr"/>
      <c r="D5" s="104" t="inlineStr"/>
      <c r="E5" s="104" t="inlineStr"/>
      <c r="F5" s="104" t="inlineStr"/>
      <c r="G5" s="104">
        <f>IF(D5+E5+F5=0,"",D5+E5+F5)</f>
        <v/>
      </c>
      <c r="H5" s="105">
        <f>IF(G5="","",G5/150*100)</f>
        <v/>
      </c>
      <c r="I5" s="104">
        <f>IF(G5="","",IF(G5&gt;=140,"Top 10 Rank",IF(G5&gt;=130,"Top 50 Rank",IF(G5&gt;=120,"Top 100 Rank","Need Improvement"))))</f>
        <v/>
      </c>
      <c r="J5" s="106" t="inlineStr"/>
      <c r="K5" s="106" t="inlineStr"/>
    </row>
    <row r="6" ht="36" customHeight="1">
      <c r="A6" s="107" t="inlineStr">
        <is>
          <t>Mock Test 4</t>
        </is>
      </c>
      <c r="B6" s="107" t="n">
        <v>111</v>
      </c>
      <c r="C6" s="107" t="inlineStr"/>
      <c r="D6" s="107" t="inlineStr"/>
      <c r="E6" s="107" t="inlineStr"/>
      <c r="F6" s="107" t="inlineStr"/>
      <c r="G6" s="107">
        <f>IF(D6+E6+F6=0,"",D6+E6+F6)</f>
        <v/>
      </c>
      <c r="H6" s="108">
        <f>IF(G6="","",G6/150*100)</f>
        <v/>
      </c>
      <c r="I6" s="107">
        <f>IF(G6="","",IF(G6&gt;=140,"Top 10 Rank",IF(G6&gt;=130,"Top 50 Rank",IF(G6&gt;=120,"Top 100 Rank","Need Improvement"))))</f>
        <v/>
      </c>
      <c r="J6" s="106" t="inlineStr"/>
      <c r="K6" s="106" t="inlineStr"/>
    </row>
    <row r="7" ht="36" customHeight="1">
      <c r="A7" s="104" t="inlineStr">
        <is>
          <t>Mock Test 5</t>
        </is>
      </c>
      <c r="B7" s="104" t="n">
        <v>113</v>
      </c>
      <c r="C7" s="104" t="inlineStr"/>
      <c r="D7" s="104" t="inlineStr"/>
      <c r="E7" s="104" t="inlineStr"/>
      <c r="F7" s="104" t="inlineStr"/>
      <c r="G7" s="104">
        <f>IF(D7+E7+F7=0,"",D7+E7+F7)</f>
        <v/>
      </c>
      <c r="H7" s="105">
        <f>IF(G7="","",G7/150*100)</f>
        <v/>
      </c>
      <c r="I7" s="104">
        <f>IF(G7="","",IF(G7&gt;=140,"Top 10 Rank",IF(G7&gt;=130,"Top 50 Rank",IF(G7&gt;=120,"Top 100 Rank","Need Improvement"))))</f>
        <v/>
      </c>
      <c r="J7" s="106" t="inlineStr"/>
      <c r="K7" s="106" t="inlineStr"/>
    </row>
    <row r="8" ht="36" customHeight="1">
      <c r="A8" s="107" t="inlineStr">
        <is>
          <t>Mock Test 6</t>
        </is>
      </c>
      <c r="B8" s="107" t="n">
        <v>115</v>
      </c>
      <c r="C8" s="107" t="inlineStr"/>
      <c r="D8" s="107" t="inlineStr"/>
      <c r="E8" s="107" t="inlineStr"/>
      <c r="F8" s="107" t="inlineStr"/>
      <c r="G8" s="107">
        <f>IF(D8+E8+F8=0,"",D8+E8+F8)</f>
        <v/>
      </c>
      <c r="H8" s="108">
        <f>IF(G8="","",G8/150*100)</f>
        <v/>
      </c>
      <c r="I8" s="107">
        <f>IF(G8="","",IF(G8&gt;=140,"Top 10 Rank",IF(G8&gt;=130,"Top 50 Rank",IF(G8&gt;=120,"Top 100 Rank","Need Improvement"))))</f>
        <v/>
      </c>
      <c r="J8" s="106" t="inlineStr"/>
      <c r="K8" s="106" t="inlineStr"/>
    </row>
    <row r="9" ht="36" customHeight="1">
      <c r="A9" s="104" t="inlineStr">
        <is>
          <t>Mock Test 7</t>
        </is>
      </c>
      <c r="B9" s="104" t="n">
        <v>123</v>
      </c>
      <c r="C9" s="104" t="inlineStr"/>
      <c r="D9" s="104" t="inlineStr"/>
      <c r="E9" s="104" t="inlineStr"/>
      <c r="F9" s="104" t="inlineStr"/>
      <c r="G9" s="104">
        <f>IF(D9+E9+F9=0,"",D9+E9+F9)</f>
        <v/>
      </c>
      <c r="H9" s="105">
        <f>IF(G9="","",G9/150*100)</f>
        <v/>
      </c>
      <c r="I9" s="104">
        <f>IF(G9="","",IF(G9&gt;=140,"Top 10 Rank",IF(G9&gt;=130,"Top 50 Rank",IF(G9&gt;=120,"Top 100 Rank","Need Improvement"))))</f>
        <v/>
      </c>
      <c r="J9" s="106" t="inlineStr"/>
      <c r="K9" s="106" t="inlineStr"/>
    </row>
    <row r="10" ht="36" customHeight="1">
      <c r="A10" s="107" t="inlineStr">
        <is>
          <t>Mock Test 8</t>
        </is>
      </c>
      <c r="B10" s="107" t="n">
        <v>127</v>
      </c>
      <c r="C10" s="107" t="inlineStr"/>
      <c r="D10" s="107" t="inlineStr"/>
      <c r="E10" s="107" t="inlineStr"/>
      <c r="F10" s="107" t="inlineStr"/>
      <c r="G10" s="107">
        <f>IF(D10+E10+F10=0,"",D10+E10+F10)</f>
        <v/>
      </c>
      <c r="H10" s="108">
        <f>IF(G10="","",G10/150*100)</f>
        <v/>
      </c>
      <c r="I10" s="107">
        <f>IF(G10="","",IF(G10&gt;=140,"Top 10 Rank",IF(G10&gt;=130,"Top 50 Rank",IF(G10&gt;=120,"Top 100 Rank","Need Improvement"))))</f>
        <v/>
      </c>
      <c r="J10" s="106" t="inlineStr"/>
      <c r="K10" s="106" t="inlineStr"/>
    </row>
    <row r="11" ht="36" customHeight="1">
      <c r="A11" s="104" t="inlineStr">
        <is>
          <t>Mock Test 9</t>
        </is>
      </c>
      <c r="B11" s="104" t="n">
        <v>130</v>
      </c>
      <c r="C11" s="104" t="inlineStr"/>
      <c r="D11" s="104" t="inlineStr"/>
      <c r="E11" s="104" t="inlineStr"/>
      <c r="F11" s="104" t="inlineStr"/>
      <c r="G11" s="104">
        <f>IF(D11+E11+F11=0,"",D11+E11+F11)</f>
        <v/>
      </c>
      <c r="H11" s="105">
        <f>IF(G11="","",G11/150*100)</f>
        <v/>
      </c>
      <c r="I11" s="104">
        <f>IF(G11="","",IF(G11&gt;=140,"Top 10 Rank",IF(G11&gt;=130,"Top 50 Rank",IF(G11&gt;=120,"Top 100 Rank","Need Improvement"))))</f>
        <v/>
      </c>
      <c r="J11" s="106" t="inlineStr"/>
      <c r="K11" s="106" t="inlineStr"/>
    </row>
    <row r="12" ht="36" customHeight="1">
      <c r="A12" s="107" t="inlineStr">
        <is>
          <t>Mock Test 10</t>
        </is>
      </c>
      <c r="B12" s="107" t="n">
        <v>137</v>
      </c>
      <c r="C12" s="107" t="inlineStr"/>
      <c r="D12" s="107" t="inlineStr"/>
      <c r="E12" s="107" t="inlineStr"/>
      <c r="F12" s="107" t="inlineStr"/>
      <c r="G12" s="107">
        <f>IF(D12+E12+F12=0,"",D12+E12+F12)</f>
        <v/>
      </c>
      <c r="H12" s="108">
        <f>IF(G12="","",G12/150*100)</f>
        <v/>
      </c>
      <c r="I12" s="107">
        <f>IF(G12="","",IF(G12&gt;=140,"Top 10 Rank",IF(G12&gt;=130,"Top 50 Rank",IF(G12&gt;=120,"Top 100 Rank","Need Improvement"))))</f>
        <v/>
      </c>
      <c r="J12" s="106" t="inlineStr"/>
      <c r="K12" s="106" t="inlineStr"/>
    </row>
    <row r="13" ht="36" customHeight="1">
      <c r="A13" s="104" t="inlineStr">
        <is>
          <t>Mock Test 11</t>
        </is>
      </c>
      <c r="B13" s="104" t="n">
        <v>142</v>
      </c>
      <c r="C13" s="104" t="inlineStr"/>
      <c r="D13" s="104" t="inlineStr"/>
      <c r="E13" s="104" t="inlineStr"/>
      <c r="F13" s="104" t="inlineStr"/>
      <c r="G13" s="104">
        <f>IF(D13+E13+F13=0,"",D13+E13+F13)</f>
        <v/>
      </c>
      <c r="H13" s="105">
        <f>IF(G13="","",G13/150*100)</f>
        <v/>
      </c>
      <c r="I13" s="104">
        <f>IF(G13="","",IF(G13&gt;=140,"Top 10 Rank",IF(G13&gt;=130,"Top 50 Rank",IF(G13&gt;=120,"Top 100 Rank","Need Improvement"))))</f>
        <v/>
      </c>
      <c r="J13" s="106" t="inlineStr"/>
      <c r="K13" s="106" t="inlineStr"/>
    </row>
    <row r="14" ht="36" customHeight="1">
      <c r="A14" s="107" t="inlineStr">
        <is>
          <t>Mock Test 12</t>
        </is>
      </c>
      <c r="B14" s="107" t="n">
        <v>147</v>
      </c>
      <c r="C14" s="107" t="inlineStr"/>
      <c r="D14" s="107" t="inlineStr"/>
      <c r="E14" s="107" t="inlineStr"/>
      <c r="F14" s="107" t="inlineStr"/>
      <c r="G14" s="107">
        <f>IF(D14+E14+F14=0,"",D14+E14+F14)</f>
        <v/>
      </c>
      <c r="H14" s="108">
        <f>IF(G14="","",G14/150*100)</f>
        <v/>
      </c>
      <c r="I14" s="107">
        <f>IF(G14="","",IF(G14&gt;=140,"Top 10 Rank",IF(G14&gt;=130,"Top 50 Rank",IF(G14&gt;=120,"Top 100 Rank","Need Improvement"))))</f>
        <v/>
      </c>
      <c r="J14" s="106" t="inlineStr"/>
      <c r="K14" s="106" t="inlineStr"/>
    </row>
    <row r="17">
      <c r="A17" s="109" t="inlineStr">
        <is>
          <t>📈 SCORE PROGRESSION</t>
        </is>
      </c>
    </row>
    <row r="18">
      <c r="A18" t="inlineStr">
        <is>
          <t>Mock Test</t>
        </is>
      </c>
      <c r="B18" t="inlineStr">
        <is>
          <t>Total Score</t>
        </is>
      </c>
      <c r="C18" t="inlineStr">
        <is>
          <t>Target Line (130)</t>
        </is>
      </c>
    </row>
    <row r="19">
      <c r="A19" t="inlineStr">
        <is>
          <t>Mock Test 1</t>
        </is>
      </c>
      <c r="B19">
        <f>G3</f>
        <v/>
      </c>
      <c r="C19" t="n">
        <v>130</v>
      </c>
    </row>
    <row r="20">
      <c r="A20" t="inlineStr">
        <is>
          <t>Mock Test 2</t>
        </is>
      </c>
      <c r="B20">
        <f>G4</f>
        <v/>
      </c>
      <c r="C20" t="n">
        <v>130</v>
      </c>
    </row>
    <row r="21">
      <c r="A21" t="inlineStr">
        <is>
          <t>Mock Test 3</t>
        </is>
      </c>
      <c r="B21">
        <f>G5</f>
        <v/>
      </c>
      <c r="C21" t="n">
        <v>130</v>
      </c>
    </row>
    <row r="22">
      <c r="A22" t="inlineStr">
        <is>
          <t>Mock Test 4</t>
        </is>
      </c>
      <c r="B22">
        <f>G6</f>
        <v/>
      </c>
      <c r="C22" t="n">
        <v>130</v>
      </c>
    </row>
    <row r="23">
      <c r="A23" t="inlineStr">
        <is>
          <t>Mock Test 5</t>
        </is>
      </c>
      <c r="B23">
        <f>G7</f>
        <v/>
      </c>
      <c r="C23" t="n">
        <v>130</v>
      </c>
    </row>
    <row r="24">
      <c r="A24" t="inlineStr">
        <is>
          <t>Mock Test 6</t>
        </is>
      </c>
      <c r="B24">
        <f>G8</f>
        <v/>
      </c>
      <c r="C24" t="n">
        <v>130</v>
      </c>
    </row>
    <row r="25">
      <c r="A25" t="inlineStr">
        <is>
          <t>Mock Test 7</t>
        </is>
      </c>
      <c r="B25">
        <f>G9</f>
        <v/>
      </c>
      <c r="C25" t="n">
        <v>130</v>
      </c>
    </row>
    <row r="26">
      <c r="A26" t="inlineStr">
        <is>
          <t>Mock Test 8</t>
        </is>
      </c>
      <c r="B26">
        <f>G10</f>
        <v/>
      </c>
      <c r="C26" t="n">
        <v>130</v>
      </c>
    </row>
    <row r="27">
      <c r="A27" t="inlineStr">
        <is>
          <t>Mock Test 9</t>
        </is>
      </c>
      <c r="B27">
        <f>G11</f>
        <v/>
      </c>
      <c r="C27" t="n">
        <v>130</v>
      </c>
    </row>
    <row r="28">
      <c r="A28" t="inlineStr">
        <is>
          <t>Mock Test 10</t>
        </is>
      </c>
      <c r="B28">
        <f>G12</f>
        <v/>
      </c>
      <c r="C28" t="n">
        <v>130</v>
      </c>
    </row>
    <row r="29">
      <c r="A29" t="inlineStr">
        <is>
          <t>Mock Test 11</t>
        </is>
      </c>
      <c r="B29">
        <f>G13</f>
        <v/>
      </c>
      <c r="C29" t="n">
        <v>130</v>
      </c>
    </row>
    <row r="30">
      <c r="A30" t="inlineStr">
        <is>
          <t>Mock Test 12</t>
        </is>
      </c>
      <c r="B30">
        <f>G14</f>
        <v/>
      </c>
      <c r="C30" t="n">
        <v>130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8" customWidth="1" min="3" max="3"/>
    <col width="16" customWidth="1" min="4" max="4"/>
  </cols>
  <sheetData>
    <row r="1" ht="28" customHeight="1">
      <c r="A1" s="110" t="inlineStr">
        <is>
          <t>⚡ QUICK FORMULA SHEET — Memorize Before Exam</t>
        </is>
      </c>
    </row>
    <row r="2" ht="28" customHeight="1">
      <c r="A2" s="20" t="inlineStr">
        <is>
          <t>Category</t>
        </is>
      </c>
      <c r="B2" s="20" t="inlineStr">
        <is>
          <t>Formula / Fact</t>
        </is>
      </c>
      <c r="C2" s="20" t="inlineStr">
        <is>
          <t>Example</t>
        </is>
      </c>
      <c r="D2" s="20" t="inlineStr">
        <is>
          <t>Memorized? (✅)</t>
        </is>
      </c>
    </row>
    <row r="3" ht="28" customHeight="1">
      <c r="A3" s="111" t="inlineStr">
        <is>
          <t>CS — Paging</t>
        </is>
      </c>
      <c r="B3" s="112" t="inlineStr">
        <is>
          <t>Page offset bits = log₂(page size in bytes)</t>
        </is>
      </c>
      <c r="C3" s="112" t="inlineStr">
        <is>
          <t>4KB = 2¹² → 12 bits</t>
        </is>
      </c>
      <c r="D3" s="111" t="inlineStr"/>
    </row>
    <row r="4" ht="28" customHeight="1">
      <c r="A4" s="111" t="inlineStr">
        <is>
          <t>CS — Paging</t>
        </is>
      </c>
      <c r="B4" s="112" t="inlineStr">
        <is>
          <t>Number of pages = Virtual address space / Page size</t>
        </is>
      </c>
      <c r="C4" s="112" t="inlineStr">
        <is>
          <t>1MB space, 4KB page → 256 pages</t>
        </is>
      </c>
      <c r="D4" s="111" t="inlineStr"/>
    </row>
    <row r="5" ht="28" customHeight="1">
      <c r="A5" s="111" t="inlineStr">
        <is>
          <t>CS — MUX</t>
        </is>
      </c>
      <c r="B5" s="112" t="inlineStr">
        <is>
          <t>Select lines for MUX = log₂(number of inputs)</t>
        </is>
      </c>
      <c r="C5" s="112" t="inlineStr">
        <is>
          <t>8:1 MUX → log₂(8) = 3 select lines</t>
        </is>
      </c>
      <c r="D5" s="111" t="inlineStr"/>
    </row>
    <row r="6" ht="28" customHeight="1">
      <c r="A6" s="111" t="inlineStr">
        <is>
          <t>CS — Digital</t>
        </is>
      </c>
      <c r="B6" s="112" t="inlineStr">
        <is>
          <t>Truth table rows = 2ⁿ (n = number of inputs)</t>
        </is>
      </c>
      <c r="C6" s="112" t="inlineStr">
        <is>
          <t>4-input OR gate → 2⁴ = 16 rows</t>
        </is>
      </c>
      <c r="D6" s="111" t="inlineStr"/>
    </row>
    <row r="7" ht="28" customHeight="1">
      <c r="A7" s="111" t="inlineStr">
        <is>
          <t>CS — BST</t>
        </is>
      </c>
      <c r="B7" s="112" t="inlineStr">
        <is>
          <t>Catalan number C(n) = (2n)! / ((n+1)! × n!)</t>
        </is>
      </c>
      <c r="C7" s="112" t="inlineStr">
        <is>
          <t>C(4) = 14 distinct BSTs from 4 keys</t>
        </is>
      </c>
      <c r="D7" s="111" t="inlineStr"/>
    </row>
    <row r="8" ht="28" customHeight="1">
      <c r="A8" s="111" t="inlineStr">
        <is>
          <t>CS — Disk</t>
        </is>
      </c>
      <c r="B8" s="112" t="inlineStr">
        <is>
          <t>FCFS Total = Σ|position(i) – position(i-1)|</t>
        </is>
      </c>
      <c r="C8" s="112" t="inlineStr">
        <is>
          <t>Head 53 → 98: |53–98| = 45</t>
        </is>
      </c>
      <c r="D8" s="111" t="inlineStr"/>
    </row>
    <row r="9" ht="28" customHeight="1">
      <c r="A9" s="111" t="inlineStr">
        <is>
          <t>CS — Network</t>
        </is>
      </c>
      <c r="B9" s="112" t="inlineStr">
        <is>
          <t>IPv4 = 32 bits; IPv6 = 128 bits</t>
        </is>
      </c>
      <c r="C9" s="112" t="inlineStr">
        <is>
          <t>192.168.1.1 = IPv4; 2001:db8::1 = IPv6</t>
        </is>
      </c>
      <c r="D9" s="111" t="inlineStr"/>
    </row>
    <row r="10" ht="28" customHeight="1">
      <c r="A10" s="87" t="inlineStr">
        <is>
          <t>CS — Complexity</t>
        </is>
      </c>
      <c r="B10" s="88" t="inlineStr">
        <is>
          <t>Binary search = O(log N)</t>
        </is>
      </c>
      <c r="C10" s="88" t="inlineStr">
        <is>
          <t>1,000 elements → max ~10 comparisons</t>
        </is>
      </c>
      <c r="D10" s="87" t="inlineStr"/>
    </row>
    <row r="11" ht="28" customHeight="1">
      <c r="A11" s="87" t="inlineStr">
        <is>
          <t>CS — Complexity</t>
        </is>
      </c>
      <c r="B11" s="88" t="inlineStr">
        <is>
          <t>Merge sort = O(N log N) [always]</t>
        </is>
      </c>
      <c r="C11" s="88" t="inlineStr">
        <is>
          <t>N=1000 → ~10,000 operations</t>
        </is>
      </c>
      <c r="D11" s="87" t="inlineStr"/>
    </row>
    <row r="12" ht="28" customHeight="1">
      <c r="A12" s="87" t="inlineStr">
        <is>
          <t>CS — Complexity</t>
        </is>
      </c>
      <c r="B12" s="88" t="inlineStr">
        <is>
          <t>Bubble sort = O(N²) worst; O(N) best</t>
        </is>
      </c>
      <c r="C12" s="88" t="inlineStr">
        <is>
          <t>N=100 → worst 10,000; best 99</t>
        </is>
      </c>
      <c r="D12" s="87" t="inlineStr"/>
    </row>
    <row r="13" ht="28" customHeight="1">
      <c r="A13" s="87" t="inlineStr">
        <is>
          <t>CS — Complexity</t>
        </is>
      </c>
      <c r="B13" s="88" t="inlineStr">
        <is>
          <t>Infix to Postfix = O(N)</t>
        </is>
      </c>
      <c r="C13" s="88" t="inlineStr">
        <is>
          <t>Expression A+B*C: N=5 tokens → O(5)</t>
        </is>
      </c>
      <c r="D13" s="87" t="inlineStr"/>
    </row>
    <row r="14" ht="28" customHeight="1">
      <c r="A14" s="85" t="inlineStr">
        <is>
          <t>CS — Number Sys.</t>
        </is>
      </c>
      <c r="B14" s="86" t="inlineStr">
        <is>
          <t>Decimal 1234 → Binary = 10011010010</t>
        </is>
      </c>
      <c r="C14" s="86" t="inlineStr">
        <is>
          <t>1234 ÷ 2 repeatedly</t>
        </is>
      </c>
      <c r="D14" s="85" t="inlineStr"/>
    </row>
    <row r="15" ht="28" customHeight="1">
      <c r="A15" s="85" t="inlineStr">
        <is>
          <t>CS — Number Sys.</t>
        </is>
      </c>
      <c r="B15" s="86" t="inlineStr">
        <is>
          <t>Decimal 1234 → Octal = 2322</t>
        </is>
      </c>
      <c r="C15" s="86" t="inlineStr">
        <is>
          <t>1234 ÷ 8 repeatedly</t>
        </is>
      </c>
      <c r="D15" s="85" t="inlineStr"/>
    </row>
    <row r="16" ht="28" customHeight="1">
      <c r="A16" s="85" t="inlineStr">
        <is>
          <t>CS — Number Sys.</t>
        </is>
      </c>
      <c r="B16" s="86" t="inlineStr">
        <is>
          <t>Decimal 1234 → Hex = 4D2</t>
        </is>
      </c>
      <c r="C16" s="86" t="inlineStr">
        <is>
          <t>4×256 + 13×16 + 2 = 1234</t>
        </is>
      </c>
      <c r="D16" s="85" t="inlineStr"/>
    </row>
    <row r="17" ht="28" customHeight="1">
      <c r="A17" s="85" t="inlineStr">
        <is>
          <t>CS — Number Sys.</t>
        </is>
      </c>
      <c r="B17" s="86" t="inlineStr">
        <is>
          <t>Binary 1011.1101 = 11.8125 decimal</t>
        </is>
      </c>
      <c r="C17" s="86" t="inlineStr">
        <is>
          <t>8+2+1 + 0.5+0.25+0+0.0625 = 11.8125</t>
        </is>
      </c>
      <c r="D17" s="85" t="inlineStr"/>
    </row>
    <row r="18" ht="28" customHeight="1">
      <c r="A18" s="89" t="inlineStr">
        <is>
          <t>CS — Boolean</t>
        </is>
      </c>
      <c r="B18" s="90" t="inlineStr">
        <is>
          <t>De Morgan's: (A+B)' = A'·B'</t>
        </is>
      </c>
      <c r="C18" s="90" t="inlineStr">
        <is>
          <t>(X OR Y) complement = X' AND Y'</t>
        </is>
      </c>
      <c r="D18" s="89" t="inlineStr"/>
    </row>
    <row r="19" ht="28" customHeight="1">
      <c r="A19" s="89" t="inlineStr">
        <is>
          <t>CS — Boolean</t>
        </is>
      </c>
      <c r="B19" s="90" t="inlineStr">
        <is>
          <t>De Morgan's: (A·B)' = A'+B'</t>
        </is>
      </c>
      <c r="C19" s="90" t="inlineStr">
        <is>
          <t>(X AND Y) complement = X' OR Y'</t>
        </is>
      </c>
      <c r="D19" s="89" t="inlineStr"/>
    </row>
    <row r="20" ht="28" customHeight="1">
      <c r="A20" s="91" t="inlineStr">
        <is>
          <t>CS — Trees</t>
        </is>
      </c>
      <c r="B20" s="92" t="inlineStr">
        <is>
          <t>Spanning tree edges = N – 1 (for N vertices)</t>
        </is>
      </c>
      <c r="C20" s="92" t="inlineStr">
        <is>
          <t>10 vertices → 9 edges in spanning tree</t>
        </is>
      </c>
      <c r="D20" s="91" t="inlineStr"/>
    </row>
    <row r="21" ht="28" customHeight="1">
      <c r="A21" s="95" t="inlineStr">
        <is>
          <t>GS — Physics</t>
        </is>
      </c>
      <c r="B21" s="96" t="inlineStr">
        <is>
          <t>P = I²R (Electrical Power)</t>
        </is>
      </c>
      <c r="C21" s="96" t="inlineStr">
        <is>
          <t>I=2A, R=5Ω → P=4×5=20W</t>
        </is>
      </c>
      <c r="D21" s="95" t="inlineStr"/>
    </row>
    <row r="22" ht="28" customHeight="1">
      <c r="A22" s="95" t="inlineStr">
        <is>
          <t>GS — Physics</t>
        </is>
      </c>
      <c r="B22" s="96" t="inlineStr">
        <is>
          <t>Speed of electron in H orbit = c/137</t>
        </is>
      </c>
      <c r="C22" s="96" t="inlineStr">
        <is>
          <t>c=3×10⁸ m/s → v=2.19×10⁶ m/s</t>
        </is>
      </c>
      <c r="D22" s="95" t="inlineStr"/>
    </row>
    <row r="23" ht="28" customHeight="1">
      <c r="A23" s="95" t="inlineStr">
        <is>
          <t>GS — Physics</t>
        </is>
      </c>
      <c r="B23" s="96" t="inlineStr">
        <is>
          <t>Stefan's Law: E ∝ T⁴ (blackbody radiation)</t>
        </is>
      </c>
      <c r="C23" s="96" t="inlineStr">
        <is>
          <t>Double T → 16× energy emitted</t>
        </is>
      </c>
      <c r="D23" s="95" t="inlineStr"/>
    </row>
    <row r="24" ht="28" customHeight="1">
      <c r="A24" s="102" t="inlineStr">
        <is>
          <t>GS — Maths</t>
        </is>
      </c>
      <c r="B24" s="71" t="inlineStr">
        <is>
          <t>Profit% = (Profit / CP) × 100</t>
        </is>
      </c>
      <c r="C24" s="71" t="inlineStr">
        <is>
          <t>CP=100, SP=120 → Profit%=20%</t>
        </is>
      </c>
      <c r="D24" s="102" t="inlineStr"/>
    </row>
    <row r="25" ht="28" customHeight="1">
      <c r="A25" s="102" t="inlineStr">
        <is>
          <t>GS — Maths</t>
        </is>
      </c>
      <c r="B25" s="71" t="inlineStr">
        <is>
          <t>ROUND(65.726, -1) = 70</t>
        </is>
      </c>
      <c r="C25" s="71" t="inlineStr">
        <is>
          <t>Negative places round LEFT of decimal</t>
        </is>
      </c>
      <c r="D25" s="102" t="inlineStr"/>
    </row>
    <row r="26" ht="28" customHeight="1">
      <c r="A26" s="102" t="inlineStr">
        <is>
          <t>GS — Maths</t>
        </is>
      </c>
      <c r="B26" s="71" t="inlineStr">
        <is>
          <t>TSA of Cylinder = 2πr(r + h)</t>
        </is>
      </c>
      <c r="C26" s="71" t="inlineStr">
        <is>
          <t>r=3, h=7 → 2π×3×10=60π</t>
        </is>
      </c>
      <c r="D26" s="102" t="inlineStr"/>
    </row>
    <row r="27" ht="28" customHeight="1">
      <c r="A27" s="102" t="inlineStr">
        <is>
          <t>GS — SQL</t>
        </is>
      </c>
      <c r="B27" s="71" t="inlineStr">
        <is>
          <t>ROUND(number, -1) rounds to nearest 10</t>
        </is>
      </c>
      <c r="C27" s="71" t="inlineStr">
        <is>
          <t>ROUND(65.726,-1)=70; ROUND(54,-1)=50</t>
        </is>
      </c>
      <c r="D27" s="102" t="inlineStr"/>
    </row>
  </sheetData>
  <mergeCells count="1">
    <mergeCell ref="A1:D1"/>
  </mergeCells>
  <dataValidations count="1">
    <dataValidation sqref="D3:D27" showDropDown="0" showInputMessage="0" showErrorMessage="0" allowBlank="1" type="list">
      <formula1>"✅,🔄,⬜"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2026-04-04T02:23:56Z</dcterms:created>
  <dcterms:modified xmlns:dcterms="http://purl.org/dc/terms/" xmlns:xsi="http://www.w3.org/2001/XMLSchema-instance" xsi:type="dcterms:W3CDTF">2026-04-04T02:23:57Z</dcterms:modified>
</cp:coreProperties>
</file>